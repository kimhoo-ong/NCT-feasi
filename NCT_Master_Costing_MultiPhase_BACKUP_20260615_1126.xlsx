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P1_INPUT" sheetId="2" state="visible" r:id="rId4"/>
    <sheet name="P1_COSTING" sheetId="3" state="visible" r:id="rId5"/>
    <sheet name="P2_INPUT" sheetId="4" state="visible" r:id="rId6"/>
    <sheet name="P2_COSTING" sheetId="5" state="visible" r:id="rId7"/>
    <sheet name="P3_INPUT" sheetId="6" state="visible" r:id="rId8"/>
    <sheet name="P3_COST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<sst xmlns="http://schemas.openxmlformats.org/spreadsheetml/2006/main" count="490" uniqueCount="305">
  <si>
    <r>
      <rPr>
        <b val="true"/>
        <sz val="12"/>
        <color rgb="FFFFFFFF"/>
        <rFont val="Arial"/>
        <family val="0"/>
        <charset val="1"/>
      </rPr>
      <t xml:space="preserve">MASTER FEASIBILITY SUMMARY  —  All Phases  |  </t>
    </r>
    <r>
      <rPr>
        <b val="true"/>
        <sz val="12"/>
        <color rgb="FFFFFFFF"/>
        <rFont val="Noto Sans CJK SC"/>
        <family val="2"/>
      </rPr>
      <t xml:space="preserve">整地汇总</t>
    </r>
  </si>
  <si>
    <t xml:space="preserve">Green = cross-sheet formula  |  Gray phase = indicative only, subject to planning approval and market review</t>
  </si>
  <si>
    <t xml:space="preserve">Phase 1</t>
  </si>
  <si>
    <t xml:space="preserve">Phase 2</t>
  </si>
  <si>
    <t xml:space="preserve">Phase 3</t>
  </si>
  <si>
    <r>
      <rPr>
        <b val="true"/>
        <sz val="10"/>
        <color rgb="FFFFFFFF"/>
        <rFont val="Arial"/>
        <family val="0"/>
        <charset val="1"/>
      </rPr>
      <t xml:space="preserve">Phase 1
</t>
    </r>
    <r>
      <rPr>
        <b val="true"/>
        <sz val="10"/>
        <color rgb="FFFFFFFF"/>
        <rFont val="Noto Sans CJK SC"/>
        <family val="2"/>
      </rPr>
      <t xml:space="preserve">精算 ✓</t>
    </r>
  </si>
  <si>
    <r>
      <rPr>
        <b val="true"/>
        <sz val="10"/>
        <color rgb="FFFFFFFF"/>
        <rFont val="Arial"/>
        <family val="0"/>
        <charset val="1"/>
      </rPr>
      <t xml:space="preserve">Phase 2
</t>
    </r>
    <r>
      <rPr>
        <b val="true"/>
        <sz val="10"/>
        <color rgb="FFFFFFFF"/>
        <rFont val="Noto Sans CJK SC"/>
        <family val="2"/>
      </rPr>
      <t xml:space="preserve">概念 ◑</t>
    </r>
  </si>
  <si>
    <t xml:space="preserve">Phase 3
TBC ○</t>
  </si>
  <si>
    <t xml:space="preserve">TOTAL</t>
  </si>
  <si>
    <t xml:space="preserve">P1 %GDV</t>
  </si>
  <si>
    <t xml:space="preserve">P2 %GDV</t>
  </si>
  <si>
    <t xml:space="preserve">P3 %GDV</t>
  </si>
  <si>
    <t xml:space="preserve">LAND &amp; AREA</t>
  </si>
  <si>
    <t xml:space="preserve">Net Developable Area (NDA)</t>
  </si>
  <si>
    <t xml:space="preserve">Gross Floor Area (GFA sqft)</t>
  </si>
  <si>
    <t xml:space="preserve">Nett Floor Area (NFA sqft)</t>
  </si>
  <si>
    <t xml:space="preserve">Total Units (estimate)</t>
  </si>
  <si>
    <t xml:space="preserve">GDV</t>
  </si>
  <si>
    <t xml:space="preserve">Net GDV</t>
  </si>
  <si>
    <t xml:space="preserve">GROSS DEVELOPMENT COST — 5 PILLARS</t>
  </si>
  <si>
    <t xml:space="preserve">P1 · Land Cost</t>
  </si>
  <si>
    <t xml:space="preserve">P2 · Construction</t>
  </si>
  <si>
    <t xml:space="preserve">P3 · Infra + Stat</t>
  </si>
  <si>
    <t xml:space="preserve">P4 · Professional</t>
  </si>
  <si>
    <t xml:space="preserve">P5 · Finance + Mktg</t>
  </si>
  <si>
    <t xml:space="preserve">GROSS DEVELOPMENT COST (GDC)</t>
  </si>
  <si>
    <t xml:space="preserve">PROFIT BEFORE TAX (PBT)</t>
  </si>
  <si>
    <t xml:space="preserve">KEY RATIOS &amp; CHECKS</t>
  </si>
  <si>
    <t xml:space="preserve">Profit Margin (PBT / Net GDV)</t>
  </si>
  <si>
    <t xml:space="preserve">Land Cost / Net GDV</t>
  </si>
  <si>
    <t xml:space="preserve">Construction Cost / Net GDV</t>
  </si>
  <si>
    <t xml:space="preserve">⚠  Phase 3 numbers are INDICATIVE ONLY — pending planning approval and market study. Do not use for Board commitment.</t>
  </si>
  <si>
    <r>
      <rPr>
        <b val="true"/>
        <sz val="12"/>
        <color rgb="FFFFFFFF"/>
        <rFont val="Arial"/>
        <family val="0"/>
        <charset val="1"/>
      </rPr>
      <t xml:space="preserve">Phase 1 — High-rise Resi (</t>
    </r>
    <r>
      <rPr>
        <b val="true"/>
        <sz val="12"/>
        <color rgb="FFFFFFFF"/>
        <rFont val="Noto Sans CJK SC"/>
        <family val="2"/>
      </rPr>
      <t xml:space="preserve">精算</t>
    </r>
    <r>
      <rPr>
        <b val="true"/>
        <sz val="12"/>
        <color rgb="FFFFFFFF"/>
        <rFont val="Arial"/>
        <family val="0"/>
        <charset val="1"/>
      </rPr>
      <t xml:space="preserve">)  |  INPUT ASSUMPTIONS  |  </t>
    </r>
    <r>
      <rPr>
        <b val="true"/>
        <sz val="12"/>
        <color rgb="FFFFFFFF"/>
        <rFont val="Noto Sans CJK SC"/>
        <family val="2"/>
      </rPr>
      <t xml:space="preserve">状态：精算 — 已规划 ✓</t>
    </r>
  </si>
  <si>
    <t xml:space="preserve">Blue = hardcoded input  |  Black = calculated  |  Gray = TBC / indicative only</t>
  </si>
  <si>
    <t xml:space="preserve">A · PROJECT INFORMATION</t>
  </si>
  <si>
    <t xml:space="preserve">Phase Name</t>
  </si>
  <si>
    <r>
      <rPr>
        <b val="true"/>
        <sz val="10"/>
        <color rgb="FF0000FF"/>
        <rFont val="Arial"/>
        <family val="0"/>
        <charset val="1"/>
      </rPr>
      <t xml:space="preserve">Phase 1 — High-rise Resi (</t>
    </r>
    <r>
      <rPr>
        <b val="true"/>
        <sz val="10"/>
        <color rgb="FF0000FF"/>
        <rFont val="Noto Sans CJK SC"/>
        <family val="2"/>
      </rPr>
      <t xml:space="preserve">精算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</si>
  <si>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Product Type</t>
  </si>
  <si>
    <t xml:space="preserve">High-rise Residential</t>
  </si>
  <si>
    <t xml:space="preserve">Target Launch Date</t>
  </si>
  <si>
    <t xml:space="preserve">Mar 2025</t>
  </si>
  <si>
    <t xml:space="preserve">Target VP Date</t>
  </si>
  <si>
    <t xml:space="preserve">Dec 2027</t>
  </si>
  <si>
    <t xml:space="preserve">Construction Period</t>
  </si>
  <si>
    <t xml:space="preserve">months</t>
  </si>
  <si>
    <t xml:space="preserve">B · AREA PARAMETERS</t>
  </si>
  <si>
    <t xml:space="preserve">acres</t>
  </si>
  <si>
    <t xml:space="preserve">This phase's allocated NDA</t>
  </si>
  <si>
    <t xml:space="preserve">Plot Ratio</t>
  </si>
  <si>
    <t xml:space="preserve">Per planning approval / assumed</t>
  </si>
  <si>
    <t xml:space="preserve">Gross Floor Area (GFA)</t>
  </si>
  <si>
    <t xml:space="preserve">sqft</t>
  </si>
  <si>
    <t xml:space="preserve">NDA × 43,560 × Plot Ratio</t>
  </si>
  <si>
    <t xml:space="preserve">Efficiency Ratio</t>
  </si>
  <si>
    <t xml:space="preserve">%</t>
  </si>
  <si>
    <t xml:space="preserve">GFA → NFA sellable area</t>
  </si>
  <si>
    <t xml:space="preserve">Nett Floor Area (NFA) — Sellable</t>
  </si>
  <si>
    <t xml:space="preserve">Base for all psf calculations</t>
  </si>
  <si>
    <t xml:space="preserve">Average Unit Size</t>
  </si>
  <si>
    <t xml:space="preserve">units</t>
  </si>
  <si>
    <t xml:space="preserve">NFA ÷ avg unit size</t>
  </si>
  <si>
    <t xml:space="preserve">C · GDV ASSUMPTIONS</t>
  </si>
  <si>
    <t xml:space="preserve">Average Selling Price (ASP)</t>
  </si>
  <si>
    <t xml:space="preserve">RM psf NFA</t>
  </si>
  <si>
    <t xml:space="preserve">Open market; based on market study</t>
  </si>
  <si>
    <t xml:space="preserve">Bumi Quota %</t>
  </si>
  <si>
    <t xml:space="preserve">Per DA conditions</t>
  </si>
  <si>
    <t xml:space="preserve">Bumi Discount %</t>
  </si>
  <si>
    <t xml:space="preserve">Applied to Bumi units only</t>
  </si>
  <si>
    <t xml:space="preserve">Affordable / Low-cost %</t>
  </si>
  <si>
    <t xml:space="preserve">Affordable Unit Price (RM/unit)</t>
  </si>
  <si>
    <t xml:space="preserve">RM/unit</t>
  </si>
  <si>
    <t xml:space="preserve">Fixed by authority</t>
  </si>
  <si>
    <t xml:space="preserve">Car Park Bays (extra sold)</t>
  </si>
  <si>
    <t xml:space="preserve">bays</t>
  </si>
  <si>
    <t xml:space="preserve">Car Park Price / Bay</t>
  </si>
  <si>
    <t xml:space="preserve">RM/bay</t>
  </si>
  <si>
    <t xml:space="preserve">Gross GDV (open market)</t>
  </si>
  <si>
    <t xml:space="preserve">RM</t>
  </si>
  <si>
    <t xml:space="preserve">NFA × ASP</t>
  </si>
  <si>
    <t xml:space="preserve">Less: Bumi Discount</t>
  </si>
  <si>
    <t xml:space="preserve">Bumi NFA × ASP × disc%</t>
  </si>
  <si>
    <t xml:space="preserve">Less: Affordable Subsidy</t>
  </si>
  <si>
    <t xml:space="preserve">Units × aff% × (mkt−fixed price)</t>
  </si>
  <si>
    <t xml:space="preserve">Car Park Revenue</t>
  </si>
  <si>
    <t xml:space="preserve">NET GDV</t>
  </si>
  <si>
    <t xml:space="preserve"> Gross GDV − Bumi Discount − Affordable subsidy + Car Park</t>
  </si>
  <si>
    <r>
      <rPr>
        <b val="true"/>
        <sz val="12"/>
        <color rgb="FFFFFFFF"/>
        <rFont val="Arial"/>
        <family val="0"/>
        <charset val="1"/>
      </rPr>
      <t xml:space="preserve">Phase 1 — High-rise Resi (</t>
    </r>
    <r>
      <rPr>
        <b val="true"/>
        <sz val="12"/>
        <color rgb="FFFFFFFF"/>
        <rFont val="Noto Sans CJK SC"/>
        <family val="2"/>
      </rPr>
      <t xml:space="preserve">精算</t>
    </r>
    <r>
      <rPr>
        <b val="true"/>
        <sz val="12"/>
        <color rgb="FFFFFFFF"/>
        <rFont val="Arial"/>
        <family val="0"/>
        <charset val="1"/>
      </rPr>
      <t xml:space="preserve">)  |  GDC — 5 PILLARS COSTING  |  </t>
    </r>
    <r>
      <rPr>
        <b val="true"/>
        <sz val="12"/>
        <color rgb="FFFFFFFF"/>
        <rFont val="Noto Sans CJK SC"/>
        <family val="2"/>
      </rPr>
      <t xml:space="preserve">精算 — 已规划 ✓</t>
    </r>
  </si>
  <si>
    <t xml:space="preserve">C = Budget (RM)  |  D = Committed  |  E = Actual  |  G = Budget psf NFA  |  I = % of Net GDV</t>
  </si>
  <si>
    <t xml:space="preserve">#</t>
  </si>
  <si>
    <t xml:space="preserve">Cost Item</t>
  </si>
  <si>
    <t xml:space="preserve">Budget (RM)</t>
  </si>
  <si>
    <t xml:space="preserve">Committed (RM)</t>
  </si>
  <si>
    <t xml:space="preserve">Actual (RM)</t>
  </si>
  <si>
    <t xml:space="preserve">Variance</t>
  </si>
  <si>
    <t xml:space="preserve">Budget psf</t>
  </si>
  <si>
    <t xml:space="preserve">Actual psf</t>
  </si>
  <si>
    <t xml:space="preserve">% Net GDV</t>
  </si>
  <si>
    <t xml:space="preserve">P1</t>
  </si>
  <si>
    <t xml:space="preserve">PILLAR 1 · LAND COST</t>
  </si>
  <si>
    <t xml:space="preserve">Target: 15–25% Net GDV</t>
  </si>
  <si>
    <t xml:space="preserve">1.1</t>
  </si>
  <si>
    <t xml:space="preserve">    Land Purchase Price (this phase share)</t>
  </si>
  <si>
    <t xml:space="preserve">Allocated by NDA % from master land cost</t>
  </si>
  <si>
    <t xml:space="preserve">1.2</t>
  </si>
  <si>
    <t xml:space="preserve">    Stamp Duty</t>
  </si>
  <si>
    <t xml:space="preserve">Tiered 1/2/3/4%</t>
  </si>
  <si>
    <t xml:space="preserve">1.3</t>
  </si>
  <si>
    <t xml:space="preserve">    Legal Fees</t>
  </si>
  <si>
    <t xml:space="preserve">~1% of land price</t>
  </si>
  <si>
    <t xml:space="preserve">1.4</t>
  </si>
  <si>
    <t xml:space="preserve">    Conversion Premium</t>
  </si>
  <si>
    <t xml:space="preserve">Agri→Building; state authority</t>
  </si>
  <si>
    <t xml:space="preserve">1.5</t>
  </si>
  <si>
    <t xml:space="preserve">    Holding Interest (land loan)</t>
  </si>
  <si>
    <t xml:space="preserve">Land loan interest to launch</t>
  </si>
  <si>
    <t xml:space="preserve">1.6</t>
  </si>
  <si>
    <t xml:space="preserve">    Valuation + Misc</t>
  </si>
  <si>
    <t xml:space="preserve">Valuer + misc legal</t>
  </si>
  <si>
    <t xml:space="preserve">PILLAR 1 TOTAL</t>
  </si>
  <si>
    <t xml:space="preserve">P2</t>
  </si>
  <si>
    <t xml:space="preserve">PILLAR 2 · CONSTRUCTION COST</t>
  </si>
  <si>
    <t xml:space="preserve">Target: 45–50% Net GDV</t>
  </si>
  <si>
    <t xml:space="preserve">2.1</t>
  </si>
  <si>
    <t xml:space="preserve">    Piling Works</t>
  </si>
  <si>
    <t xml:space="preserve">Bored/driven per soil report</t>
  </si>
  <si>
    <t xml:space="preserve">2.2</t>
  </si>
  <si>
    <t xml:space="preserve">    Substructure</t>
  </si>
  <si>
    <t xml:space="preserve">Foundation, pile caps, basement</t>
  </si>
  <si>
    <t xml:space="preserve">2.3</t>
  </si>
  <si>
    <t xml:space="preserve">    Superstructure — C&amp;S</t>
  </si>
  <si>
    <t xml:space="preserve">RC frame, beams, slabs</t>
  </si>
  <si>
    <t xml:space="preserve">2.4</t>
  </si>
  <si>
    <t xml:space="preserve">    Architectural Works</t>
  </si>
  <si>
    <t xml:space="preserve">Façade, partitions, finishes</t>
  </si>
  <si>
    <t xml:space="preserve">2.5</t>
  </si>
  <si>
    <t xml:space="preserve">    M&amp;E — Mechanical</t>
  </si>
  <si>
    <t xml:space="preserve">HVAC, fire, lifts</t>
  </si>
  <si>
    <t xml:space="preserve">2.6</t>
  </si>
  <si>
    <t xml:space="preserve">    M&amp;E — Electrical</t>
  </si>
  <si>
    <t xml:space="preserve">LV/HV, lighting, ELV</t>
  </si>
  <si>
    <t xml:space="preserve">2.7</t>
  </si>
  <si>
    <t xml:space="preserve">    Plumbing &amp; Sanitary</t>
  </si>
  <si>
    <t xml:space="preserve">Water supply &amp; sewerage</t>
  </si>
  <si>
    <t xml:space="preserve">2.8</t>
  </si>
  <si>
    <t xml:space="preserve">    Landscaping (Internal)</t>
  </si>
  <si>
    <t xml:space="preserve">Podium, pool, gym</t>
  </si>
  <si>
    <t xml:space="preserve">2.9</t>
  </si>
  <si>
    <t xml:space="preserve">    Preliminaries</t>
  </si>
  <si>
    <t xml:space="preserve">~8% of trade works</t>
  </si>
  <si>
    <t xml:space="preserve">2.10</t>
  </si>
  <si>
    <t xml:space="preserve">    Contingency (5%)</t>
  </si>
  <si>
    <t xml:space="preserve">For approved VOs</t>
  </si>
  <si>
    <t xml:space="preserve">PILLAR 2 TOTAL</t>
  </si>
  <si>
    <t xml:space="preserve">P3</t>
  </si>
  <si>
    <t xml:space="preserve">PILLAR 3 · INFRASTRUCTURE + STATUTORY</t>
  </si>
  <si>
    <t xml:space="preserve">Target: 8–15% Net GDV</t>
  </si>
  <si>
    <t xml:space="preserve">3.1</t>
  </si>
  <si>
    <t xml:space="preserve">    Internal Roads</t>
  </si>
  <si>
    <t xml:space="preserve">Tarmac, curbs, markings</t>
  </si>
  <si>
    <t xml:space="preserve">3.2</t>
  </si>
  <si>
    <t xml:space="preserve">    External Road (JKR)</t>
  </si>
  <si>
    <t xml:space="preserve">Off-site widening per JKR</t>
  </si>
  <si>
    <t xml:space="preserve">3.3</t>
  </si>
  <si>
    <t xml:space="preserve">    Drainage (JPS)</t>
  </si>
  <si>
    <t xml:space="preserve">Internal + tie-in to JPS</t>
  </si>
  <si>
    <t xml:space="preserve">3.4</t>
  </si>
  <si>
    <t xml:space="preserve">    TNB Substation</t>
  </si>
  <si>
    <t xml:space="preserve">Substation contribution + cabling</t>
  </si>
  <si>
    <t xml:space="preserve">3.5</t>
  </si>
  <si>
    <t xml:space="preserve">    Water Supply</t>
  </si>
  <si>
    <t xml:space="preserve">Pipe + reservoir contribution</t>
  </si>
  <si>
    <t xml:space="preserve">3.6</t>
  </si>
  <si>
    <t xml:space="preserve">    Sewerage (IWK)</t>
  </si>
  <si>
    <t xml:space="preserve">IWK connection / on-site STP</t>
  </si>
  <si>
    <t xml:space="preserve">3.7</t>
  </si>
  <si>
    <t xml:space="preserve">    Open Space + Amenities</t>
  </si>
  <si>
    <t xml:space="preserve">10% site area; bus stop, surau</t>
  </si>
  <si>
    <t xml:space="preserve">3.8</t>
  </si>
  <si>
    <t xml:space="preserve">    Development Contribution</t>
  </si>
  <si>
    <t xml:space="preserve">Cash to local authority (DA cond)</t>
  </si>
  <si>
    <t xml:space="preserve">3.9</t>
  </si>
  <si>
    <t xml:space="preserve">PILLAR 3 TOTAL</t>
  </si>
  <si>
    <t xml:space="preserve">P4</t>
  </si>
  <si>
    <t xml:space="preserve">PILLAR 4 · PROFESSIONAL FEES</t>
  </si>
  <si>
    <t xml:space="preserve">Target: 3–5% Net GDV</t>
  </si>
  <si>
    <t xml:space="preserve">4.1</t>
  </si>
  <si>
    <t xml:space="preserve">    Architect</t>
  </si>
  <si>
    <t xml:space="preserve">~4% of construction cost</t>
  </si>
  <si>
    <t xml:space="preserve">4.2</t>
  </si>
  <si>
    <t xml:space="preserve">    Structural Engineer</t>
  </si>
  <si>
    <t xml:space="preserve">~1.5% of C&amp;S</t>
  </si>
  <si>
    <t xml:space="preserve">4.3</t>
  </si>
  <si>
    <t xml:space="preserve">    M&amp;E Engineer</t>
  </si>
  <si>
    <t xml:space="preserve">~1.5% of M&amp;E</t>
  </si>
  <si>
    <t xml:space="preserve">4.4</t>
  </si>
  <si>
    <t xml:space="preserve">    QS</t>
  </si>
  <si>
    <t xml:space="preserve">~1% of construction</t>
  </si>
  <si>
    <t xml:space="preserve">4.5</t>
  </si>
  <si>
    <t xml:space="preserve">    Land Surveyor</t>
  </si>
  <si>
    <t xml:space="preserve">Boundary + strata survey</t>
  </si>
  <si>
    <t xml:space="preserve">4.6</t>
  </si>
  <si>
    <t xml:space="preserve">    Town Planner</t>
  </si>
  <si>
    <t xml:space="preserve">DA/OSC liaison</t>
  </si>
  <si>
    <t xml:space="preserve">4.7</t>
  </si>
  <si>
    <t xml:space="preserve">    Geotech / SI</t>
  </si>
  <si>
    <t xml:space="preserve">Soil investigation</t>
  </si>
  <si>
    <t xml:space="preserve">4.8</t>
  </si>
  <si>
    <t xml:space="preserve">    Legal (SPA/APDL/Title)</t>
  </si>
  <si>
    <t xml:space="preserve">All project legal work</t>
  </si>
  <si>
    <t xml:space="preserve">PILLAR 4 TOTAL</t>
  </si>
  <si>
    <t xml:space="preserve">P5</t>
  </si>
  <si>
    <t xml:space="preserve">PILLAR 5 · FINANCE + MARKETING</t>
  </si>
  <si>
    <t xml:space="preserve">Target: 6–10% Net GDV</t>
  </si>
  <si>
    <t xml:space="preserve">5.1</t>
  </si>
  <si>
    <t xml:space="preserve">    Bridging Loan Interest (IDC)</t>
  </si>
  <si>
    <t xml:space="preserve">Avg drawdown × rate × period</t>
  </si>
  <si>
    <t xml:space="preserve">5.2</t>
  </si>
  <si>
    <t xml:space="preserve">    Loan Arrangement + Legal</t>
  </si>
  <si>
    <t xml:space="preserve">~0.8% of loan facility</t>
  </si>
  <si>
    <t xml:space="preserve">5.3</t>
  </si>
  <si>
    <t xml:space="preserve">    Sales Gallery + Show Units</t>
  </si>
  <si>
    <t xml:space="preserve">Build, fitout, furnish</t>
  </si>
  <si>
    <t xml:space="preserve">5.4</t>
  </si>
  <si>
    <t xml:space="preserve">    Digital &amp; Print Marketing</t>
  </si>
  <si>
    <t xml:space="preserve">Website, launches, print</t>
  </si>
  <si>
    <t xml:space="preserve">5.5</t>
  </si>
  <si>
    <t xml:space="preserve">    Agent Commission</t>
  </si>
  <si>
    <t xml:space="preserve">~2.5% Net GDV</t>
  </si>
  <si>
    <t xml:space="preserve">5.6</t>
  </si>
  <si>
    <t xml:space="preserve">    APDL + Developer Licence</t>
  </si>
  <si>
    <t xml:space="preserve">HDA fees</t>
  </si>
  <si>
    <t xml:space="preserve">5.7</t>
  </si>
  <si>
    <t xml:space="preserve">    Internal PM Allocation</t>
  </si>
  <si>
    <t xml:space="preserve">Team salary to project</t>
  </si>
  <si>
    <t xml:space="preserve">5.8</t>
  </si>
  <si>
    <t xml:space="preserve">    Insurance (CAR/PI/PL)</t>
  </si>
  <si>
    <t xml:space="preserve">~0.6% of construction</t>
  </si>
  <si>
    <t xml:space="preserve">PILLAR 5 TOTAL</t>
  </si>
  <si>
    <t xml:space="preserve">GDC</t>
  </si>
  <si>
    <t xml:space="preserve">GROSS DEVELOPMENT COST</t>
  </si>
  <si>
    <t xml:space="preserve">PBT</t>
  </si>
  <si>
    <t xml:space="preserve">PROFIT BEFORE TAX  (Net GDV − GDC)</t>
  </si>
  <si>
    <r>
      <rPr>
        <b val="true"/>
        <sz val="12"/>
        <color rgb="FFFFFFFF"/>
        <rFont val="Arial"/>
        <family val="0"/>
        <charset val="1"/>
      </rPr>
      <t xml:space="preserve">Phase 2 — High-rise Resi (</t>
    </r>
    <r>
      <rPr>
        <b val="true"/>
        <sz val="12"/>
        <color rgb="FFFFFFFF"/>
        <rFont val="Noto Sans CJK SC"/>
        <family val="2"/>
      </rPr>
      <t xml:space="preserve">概念</t>
    </r>
    <r>
      <rPr>
        <b val="true"/>
        <sz val="12"/>
        <color rgb="FFFFFFFF"/>
        <rFont val="Arial"/>
        <family val="0"/>
        <charset val="1"/>
      </rPr>
      <t xml:space="preserve">)  |  INPUT ASSUMPTIONS  |  </t>
    </r>
    <r>
      <rPr>
        <b val="true"/>
        <sz val="12"/>
        <color rgb="FFFFFFFF"/>
        <rFont val="Noto Sans CJK SC"/>
        <family val="2"/>
      </rPr>
      <t xml:space="preserve">状态：概念阶段 ◑</t>
    </r>
  </si>
  <si>
    <r>
      <rPr>
        <b val="true"/>
        <sz val="10"/>
        <color rgb="FF0000FF"/>
        <rFont val="Arial"/>
        <family val="0"/>
        <charset val="1"/>
      </rPr>
      <t xml:space="preserve">Phase 2 — High-rise Resi (</t>
    </r>
    <r>
      <rPr>
        <b val="true"/>
        <sz val="10"/>
        <color rgb="FF0000FF"/>
        <rFont val="Noto Sans CJK SC"/>
        <family val="2"/>
      </rPr>
      <t xml:space="preserve">概念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</si>
  <si>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High-rise Residential (Phase 2)</t>
  </si>
  <si>
    <t xml:space="preserve">Q3 2026</t>
  </si>
  <si>
    <t xml:space="preserve">Dec 2028</t>
  </si>
  <si>
    <r>
      <rPr>
        <b val="true"/>
        <sz val="12"/>
        <color rgb="FFFFFFFF"/>
        <rFont val="Arial"/>
        <family val="0"/>
        <charset val="1"/>
      </rPr>
      <t xml:space="preserve">Phase 2 — High-rise Resi (</t>
    </r>
    <r>
      <rPr>
        <b val="true"/>
        <sz val="12"/>
        <color rgb="FFFFFFFF"/>
        <rFont val="Noto Sans CJK SC"/>
        <family val="2"/>
      </rPr>
      <t xml:space="preserve">概念</t>
    </r>
    <r>
      <rPr>
        <b val="true"/>
        <sz val="12"/>
        <color rgb="FFFFFFFF"/>
        <rFont val="Arial"/>
        <family val="0"/>
        <charset val="1"/>
      </rPr>
      <t xml:space="preserve">)  |  GDC — 5 PILLARS COSTING  |  </t>
    </r>
    <r>
      <rPr>
        <b val="true"/>
        <sz val="12"/>
        <color rgb="FFFFFFFF"/>
        <rFont val="Noto Sans CJK SC"/>
        <family val="2"/>
      </rPr>
      <t xml:space="preserve">概念阶段 ◑</t>
    </r>
  </si>
  <si>
    <t xml:space="preserve">    Land Price (phase share)</t>
  </si>
  <si>
    <t xml:space="preserve">Allocated from master land cost by NDA%</t>
  </si>
  <si>
    <t xml:space="preserve">    Transaction costs (stamp/legal)</t>
  </si>
  <si>
    <t xml:space="preserve">Stamp + legal ~5.5% of land price</t>
  </si>
  <si>
    <t xml:space="preserve">    Conversion + Holding Interest</t>
  </si>
  <si>
    <t xml:space="preserve">Combined estimate; refine at planning stage</t>
  </si>
  <si>
    <t xml:space="preserve">    Main Building (C&amp;S + Arch)</t>
  </si>
  <si>
    <t xml:space="preserve">Estimated at RM 320 psf GFA</t>
  </si>
  <si>
    <t xml:space="preserve">    M&amp;E Complete</t>
  </si>
  <si>
    <t xml:space="preserve">Estimated at RM 90 psf GFA</t>
  </si>
  <si>
    <t xml:space="preserve">    Piling + Prelim + Contingency</t>
  </si>
  <si>
    <t xml:space="preserve">~15% of main works</t>
  </si>
  <si>
    <t xml:space="preserve">    Infrastructure Works</t>
  </si>
  <si>
    <t xml:space="preserve">Roads, drainage, TNB, water — estimated</t>
  </si>
  <si>
    <t xml:space="preserve">    Statutory Contributions</t>
  </si>
  <si>
    <t xml:space="preserve">Open space + dev contribution — TBC at DA</t>
  </si>
  <si>
    <t xml:space="preserve">    All Consultants (combined)</t>
  </si>
  <si>
    <t xml:space="preserve">Archi + Struct + ME + QS + Legal — estimated</t>
  </si>
  <si>
    <t xml:space="preserve">    Finance Cost (IDC + fees)</t>
  </si>
  <si>
    <t xml:space="preserve">Estimate; refine with loan term</t>
  </si>
  <si>
    <t xml:space="preserve">    Marketing + Agent Commission</t>
  </si>
  <si>
    <t xml:space="preserve">2.5% agent + est. gallery/mktg</t>
  </si>
  <si>
    <r>
      <rPr>
        <b val="true"/>
        <sz val="12"/>
        <color rgb="FFFFFFFF"/>
        <rFont val="Arial"/>
        <family val="0"/>
        <charset val="1"/>
      </rPr>
      <t xml:space="preserve">Phase 3 — Mixed TBC (</t>
    </r>
    <r>
      <rPr>
        <b val="true"/>
        <sz val="12"/>
        <color rgb="FFFFFFFF"/>
        <rFont val="Noto Sans CJK SC"/>
        <family val="2"/>
      </rPr>
      <t xml:space="preserve">占位</t>
    </r>
    <r>
      <rPr>
        <b val="true"/>
        <sz val="12"/>
        <color rgb="FFFFFFFF"/>
        <rFont val="Arial"/>
        <family val="0"/>
        <charset val="1"/>
      </rPr>
      <t xml:space="preserve">)  |  INPUT ASSUMPTIONS  |  </t>
    </r>
    <r>
      <rPr>
        <b val="true"/>
        <sz val="12"/>
        <color rgb="FFFFFFFF"/>
        <rFont val="Noto Sans CJK SC"/>
        <family val="2"/>
      </rPr>
      <t xml:space="preserve">状态：未规划 </t>
    </r>
    <r>
      <rPr>
        <b val="true"/>
        <sz val="12"/>
        <color rgb="FFFFFFFF"/>
        <rFont val="Arial"/>
        <family val="0"/>
        <charset val="1"/>
      </rPr>
      <t xml:space="preserve">TBC ○</t>
    </r>
  </si>
  <si>
    <r>
      <rPr>
        <b val="true"/>
        <sz val="10"/>
        <color rgb="FF0000FF"/>
        <rFont val="Arial"/>
        <family val="0"/>
        <charset val="1"/>
      </rPr>
      <t xml:space="preserve">Phase 3 — Mixed TBC (</t>
    </r>
    <r>
      <rPr>
        <b val="true"/>
        <sz val="10"/>
        <color rgb="FF0000FF"/>
        <rFont val="Noto Sans CJK SC"/>
        <family val="2"/>
      </rPr>
      <t xml:space="preserve">占位</t>
    </r>
    <r>
      <rPr>
        <b val="true"/>
        <sz val="10"/>
        <color rgb="FF0000FF"/>
        <rFont val="Arial"/>
        <family val="0"/>
        <charset val="1"/>
      </rPr>
      <t xml:space="preserve">)</t>
    </r>
  </si>
  <si>
    <t xml:space="preserve">Mixed / TBD</t>
  </si>
  <si>
    <t xml:space="preserve">TBD</t>
  </si>
  <si>
    <t xml:space="preserve">GDV per Nett Acre (benchmark)</t>
  </si>
  <si>
    <t xml:space="preserve">RM/acre</t>
  </si>
  <si>
    <t xml:space="preserve">From comparable completed projects in area</t>
  </si>
  <si>
    <t xml:space="preserve">Estimated Gross GDV</t>
  </si>
  <si>
    <t xml:space="preserve">NDA × GDV/acre  |  INDICATIVE ONLY</t>
  </si>
  <si>
    <t xml:space="preserve">Bumi Discount Provision</t>
  </si>
  <si>
    <t xml:space="preserve">Flat provision; refine when planning known</t>
  </si>
  <si>
    <t xml:space="preserve">NET GDV (indicative)</t>
  </si>
  <si>
    <t xml:space="preserve">TBC — pending planning &amp; market study</t>
  </si>
  <si>
    <r>
      <rPr>
        <b val="true"/>
        <sz val="12"/>
        <color rgb="FFFFFFFF"/>
        <rFont val="Arial"/>
        <family val="0"/>
        <charset val="1"/>
      </rPr>
      <t xml:space="preserve">Phase 3 — Mixed TBC (</t>
    </r>
    <r>
      <rPr>
        <b val="true"/>
        <sz val="12"/>
        <color rgb="FFFFFFFF"/>
        <rFont val="Noto Sans CJK SC"/>
        <family val="2"/>
      </rPr>
      <t xml:space="preserve">占位</t>
    </r>
    <r>
      <rPr>
        <b val="true"/>
        <sz val="12"/>
        <color rgb="FFFFFFFF"/>
        <rFont val="Arial"/>
        <family val="0"/>
        <charset val="1"/>
      </rPr>
      <t xml:space="preserve">)  |  GDC — 5 PILLARS COSTING  |  </t>
    </r>
    <r>
      <rPr>
        <b val="true"/>
        <sz val="12"/>
        <color rgb="FFFFFFFF"/>
        <rFont val="Noto Sans CJK SC"/>
        <family val="2"/>
      </rPr>
      <t xml:space="preserve">未规划 </t>
    </r>
    <r>
      <rPr>
        <b val="true"/>
        <sz val="12"/>
        <color rgb="FFFFFFFF"/>
        <rFont val="Arial"/>
        <family val="0"/>
        <charset val="1"/>
      </rPr>
      <t xml:space="preserve">TBC ○</t>
    </r>
  </si>
  <si>
    <t xml:space="preserve">PILLAR 1 · LAND COST (indicative)</t>
  </si>
  <si>
    <t xml:space="preserve">TBC</t>
  </si>
  <si>
    <t xml:space="preserve">    Land Cost (NDA share)</t>
  </si>
  <si>
    <t xml:space="preserve">Allocated from master by NDA%; TBC</t>
  </si>
  <si>
    <t xml:space="preserve">    Transaction costs</t>
  </si>
  <si>
    <t xml:space="preserve">Stamp + legal estimate</t>
  </si>
  <si>
    <t xml:space="preserve">PILLAR 2 · CONSTRUCTION COST (indicative)</t>
  </si>
  <si>
    <t xml:space="preserve">    Construction (psf GFA estimate)</t>
  </si>
  <si>
    <t xml:space="preserve">RM 300–380 psf GFA benchmark; TBC at design</t>
  </si>
  <si>
    <t xml:space="preserve">PILLAR 3 · INFRASTRUCTURE + STATUTORY (indicative)</t>
  </si>
  <si>
    <t xml:space="preserve">    Infrastructure + Statutory</t>
  </si>
  <si>
    <t xml:space="preserve">~20% of construction; TBC at DA stage</t>
  </si>
  <si>
    <t xml:space="preserve">PILLAR 4 · PROFESSIONAL FEES (indicative)</t>
  </si>
  <si>
    <t xml:space="preserve">    All Consultants</t>
  </si>
  <si>
    <t xml:space="preserve">~6% of construction; TBC</t>
  </si>
  <si>
    <t xml:space="preserve">PILLAR 5 · FINANCE + MARKETING (indicative)</t>
  </si>
  <si>
    <t xml:space="preserve">    Finance + Marketing</t>
  </si>
  <si>
    <t xml:space="preserve">~8% Net GDV; TBC</t>
  </si>
  <si>
    <t xml:space="preserve">GROSS DEV COST (INDICATIVE — TBC)</t>
  </si>
  <si>
    <t xml:space="preserve">PROFIT (INDICATIVE — TBC)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</si>
</sst>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;\(#,##0\);\-"/>
    <numFmt numFmtId="167" formatCode="0.0%;\(0.0%\);\-"/>
    <numFmt numFmtId="168" formatCode="#,##0.00;\(#,##0.00\);\-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22222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F6E56"/>
      <name val="Arial"/>
      <family val="0"/>
      <charset val="1"/>
    </font>
    <font>
      <sz val="10"/>
      <color rgb="FF854F0B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sz val="10"/>
      <color rgb="FF993C1D"/>
      <name val="Arial"/>
      <family val="0"/>
      <charset val="1"/>
    </font>
    <font>
      <b val="true"/>
      <sz val="10"/>
      <color rgb="FF993C1D"/>
      <name val="Arial"/>
      <family val="0"/>
      <charset val="1"/>
    </font>
    <font>
      <sz val="10"/>
      <color rgb="FF534AB7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sz val="10"/>
      <color rgb="FF185FA5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FF"/>
      <name val="Noto Sans CJK SC"/>
      <family val="2"/>
    </font>
    <font>
      <i val="true"/>
      <sz val="9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99999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0F6E56"/>
        <bgColor rgb="FF008080"/>
      </patternFill>
    </fill>
    <fill>
      <patternFill patternType="solid">
        <fgColor rgb="FF854F0B"/>
        <bgColor rgb="FF993C1D"/>
      </patternFill>
    </fill>
    <fill>
      <patternFill patternType="solid">
        <fgColor rgb="FF888888"/>
        <bgColor rgb="FF999999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AEEDA"/>
      </patternFill>
    </fill>
    <fill>
      <patternFill patternType="solid">
        <fgColor rgb="FFEEEDF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F2F2F2"/>
        <bgColor rgb="FFF7F7F7"/>
      </patternFill>
    </fill>
    <fill>
      <patternFill patternType="solid">
        <fgColor rgb="FF185FA5"/>
        <bgColor rgb="FF0F6E56"/>
      </patternFill>
    </fill>
    <fill>
      <patternFill patternType="solid">
        <fgColor rgb="FF993C1D"/>
        <bgColor rgb="FF854F0B"/>
      </patternFill>
    </fill>
    <fill>
      <patternFill patternType="solid">
        <fgColor rgb="FF534AB7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F7F7F7"/>
      <rgbColor rgb="FF888888"/>
      <rgbColor rgb="FF9999FF"/>
      <rgbColor rgb="FF993366"/>
      <rgbColor rgb="FFFAEEDA"/>
      <rgbColor rgb="FFE1F5EE"/>
      <rgbColor rgb="FF660066"/>
      <rgbColor rgb="FFFF8080"/>
      <rgbColor rgb="FF185FA5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2F2F2"/>
      <rgbColor rgb="FFFAECE7"/>
      <rgbColor rgb="FF99CCFF"/>
      <rgbColor rgb="FFFF99CC"/>
      <rgbColor rgb="FFCC99FF"/>
      <rgbColor rgb="FFEEEDFE"/>
      <rgbColor rgb="FF3366FF"/>
      <rgbColor rgb="FF33CCCC"/>
      <rgbColor rgb="FF99CC00"/>
      <rgbColor rgb="FFFFCC00"/>
      <rgbColor rgb="FFFF9900"/>
      <rgbColor rgb="FFFF6600"/>
      <rgbColor rgb="FF534AB7"/>
      <rgbColor rgb="FF999999"/>
      <rgbColor rgb="FF003366"/>
      <rgbColor rgb="FF339966"/>
      <rgbColor rgb="FF003300"/>
      <rgbColor rgb="FF222222"/>
      <rgbColor rgb="FF993C1D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8"/>
    <col collapsed="false" customWidth="true" hidden="false" outlineLevel="0" max="7" min="6" style="1" width="14"/>
    <col collapsed="false" customWidth="true" hidden="false" outlineLevel="0" max="8" min="8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A3" s="4"/>
      <c r="B3" s="5" t="s">
        <v>2</v>
      </c>
      <c r="C3" s="6" t="s">
        <v>3</v>
      </c>
      <c r="D3" s="7" t="s">
        <v>4</v>
      </c>
      <c r="E3" s="4"/>
      <c r="F3" s="4"/>
      <c r="G3" s="4"/>
      <c r="H3" s="4"/>
    </row>
    <row r="4" customFormat="false" ht="36" hidden="false" customHeight="true" outlineLevel="0" collapsed="false">
      <c r="A4" s="8"/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</row>
    <row r="5" customFormat="false" ht="18" hidden="false" customHeight="true" outlineLevel="0" collapsed="false">
      <c r="A5" s="9" t="s">
        <v>12</v>
      </c>
      <c r="B5" s="9"/>
      <c r="C5" s="9"/>
      <c r="D5" s="9"/>
      <c r="E5" s="9"/>
      <c r="F5" s="9"/>
      <c r="G5" s="9"/>
      <c r="H5" s="9"/>
    </row>
    <row r="6" customFormat="false" ht="16.5" hidden="false" customHeight="true" outlineLevel="0" collapsed="false">
      <c r="A6" s="10" t="s">
        <v>13</v>
      </c>
      <c r="B6" s="11" t="n">
        <f aca="false">P1_INPUT!B12</f>
        <v>4</v>
      </c>
      <c r="C6" s="11" t="n">
        <f aca="false">P2_INPUT!B12</f>
        <v>3.5</v>
      </c>
      <c r="D6" s="11" t="n">
        <f aca="false">P3_INPUT!B12</f>
        <v>2.5</v>
      </c>
      <c r="E6" s="12" t="n">
        <f aca="false">SUM(B6:D6)</f>
        <v>10</v>
      </c>
      <c r="F6" s="13"/>
      <c r="G6" s="13"/>
      <c r="H6" s="13"/>
    </row>
    <row r="7" customFormat="false" ht="16.5" hidden="false" customHeight="true" outlineLevel="0" collapsed="false">
      <c r="A7" s="10" t="s">
        <v>14</v>
      </c>
      <c r="B7" s="14" t="n">
        <f aca="false">P1_INPUT!B14</f>
        <v>609840</v>
      </c>
      <c r="C7" s="14" t="n">
        <f aca="false">P2_INPUT!B14</f>
        <v>533610</v>
      </c>
      <c r="D7" s="14" t="n">
        <f aca="false">P3_INPUT!B14</f>
        <v>326700</v>
      </c>
      <c r="E7" s="15" t="n">
        <f aca="false">SUM(B7:D7)</f>
        <v>1470150</v>
      </c>
      <c r="F7" s="13"/>
      <c r="G7" s="13"/>
      <c r="H7" s="13"/>
    </row>
    <row r="8" customFormat="false" ht="16.5" hidden="false" customHeight="true" outlineLevel="0" collapsed="false">
      <c r="A8" s="10" t="s">
        <v>15</v>
      </c>
      <c r="B8" s="14" t="n">
        <f aca="false">P1_INPUT!B16</f>
        <v>475675.2</v>
      </c>
      <c r="C8" s="14" t="n">
        <f aca="false">P2_INPUT!B16</f>
        <v>416215.8</v>
      </c>
      <c r="D8" s="14" t="n">
        <f aca="false">P3_INPUT!B16</f>
        <v>245025</v>
      </c>
      <c r="E8" s="15" t="n">
        <f aca="false">SUM(B8:D8)</f>
        <v>1136916</v>
      </c>
      <c r="F8" s="13"/>
      <c r="G8" s="13"/>
      <c r="H8" s="13"/>
    </row>
    <row r="9" customFormat="false" ht="16.5" hidden="false" customHeight="true" outlineLevel="0" collapsed="false">
      <c r="A9" s="10" t="s">
        <v>16</v>
      </c>
      <c r="B9" s="14" t="n">
        <f aca="false">P1_INPUT!B18</f>
        <v>529</v>
      </c>
      <c r="C9" s="14" t="n">
        <f aca="false">P2_INPUT!B18</f>
        <v>438</v>
      </c>
      <c r="D9" s="14" t="n">
        <f aca="false">P3_INPUT!B18</f>
        <v>272</v>
      </c>
      <c r="E9" s="15" t="n">
        <f aca="false">SUM(B9:D9)</f>
        <v>1239</v>
      </c>
      <c r="F9" s="13"/>
      <c r="G9" s="13"/>
      <c r="H9" s="13"/>
    </row>
    <row r="10" customFormat="false" ht="6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</row>
    <row r="11" customFormat="false" ht="18" hidden="false" customHeight="true" outlineLevel="0" collapsed="false">
      <c r="A11" s="17" t="s">
        <v>17</v>
      </c>
      <c r="B11" s="17"/>
      <c r="C11" s="17"/>
      <c r="D11" s="17"/>
      <c r="E11" s="17"/>
      <c r="F11" s="17"/>
      <c r="G11" s="17"/>
      <c r="H11" s="17"/>
    </row>
    <row r="12" customFormat="false" ht="19.5" hidden="false" customHeight="true" outlineLevel="0" collapsed="false">
      <c r="A12" s="18" t="s">
        <v>18</v>
      </c>
      <c r="B12" s="19" t="n">
        <f aca="false">P1_INPUT!B34</f>
        <v>277571213.52</v>
      </c>
      <c r="C12" s="19" t="n">
        <f aca="false">P2_INPUT!B34</f>
        <v>253447982.376</v>
      </c>
      <c r="D12" s="19" t="n">
        <f aca="false">P3_INPUT!B24</f>
        <v>52000000</v>
      </c>
      <c r="E12" s="20" t="n">
        <f aca="false">SUM(B12:D12)</f>
        <v>583019195.896</v>
      </c>
      <c r="F12" s="21" t="n">
        <f aca="false">IFERROR(B12/B$6,0)</f>
        <v>69392803.38</v>
      </c>
      <c r="G12" s="21" t="n">
        <f aca="false">IFERROR(C12/C$6,0)</f>
        <v>72413709.2502857</v>
      </c>
      <c r="H12" s="21" t="n">
        <f aca="false">IFERROR(D12/D$6,0)</f>
        <v>20800000</v>
      </c>
    </row>
    <row r="13" customFormat="false" ht="6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</row>
    <row r="14" customFormat="false" ht="18" hidden="false" customHeight="true" outlineLevel="0" collapsed="false">
      <c r="A14" s="9" t="s">
        <v>19</v>
      </c>
      <c r="B14" s="9"/>
      <c r="C14" s="9"/>
      <c r="D14" s="9"/>
      <c r="E14" s="9"/>
      <c r="F14" s="9"/>
      <c r="G14" s="9"/>
      <c r="H14" s="9"/>
    </row>
    <row r="15" customFormat="false" ht="16.5" hidden="false" customHeight="true" outlineLevel="0" collapsed="false">
      <c r="A15" s="22" t="s">
        <v>20</v>
      </c>
      <c r="B15" s="23" t="n">
        <f aca="false">P1_COSTING!C12</f>
        <v>13532000</v>
      </c>
      <c r="C15" s="23" t="n">
        <f aca="false">P2_COSTING!C9</f>
        <v>12077500</v>
      </c>
      <c r="D15" s="23" t="n">
        <f aca="false">P3_COSTING!C8</f>
        <v>7912500</v>
      </c>
      <c r="E15" s="20" t="n">
        <f aca="false">SUM(B15:D15)</f>
        <v>33522000</v>
      </c>
      <c r="F15" s="21" t="n">
        <f aca="false">IFERROR(B15/B$6,0)</f>
        <v>3383000</v>
      </c>
      <c r="G15" s="21" t="n">
        <f aca="false">IFERROR(C15/C$6,0)</f>
        <v>3450714.28571429</v>
      </c>
      <c r="H15" s="21" t="n">
        <f aca="false">IFERROR(D15/D$6,0)</f>
        <v>3165000</v>
      </c>
    </row>
    <row r="16" customFormat="false" ht="16.5" hidden="false" customHeight="true" outlineLevel="0" collapsed="false">
      <c r="A16" s="24" t="s">
        <v>21</v>
      </c>
      <c r="B16" s="25" t="n">
        <f aca="false">P1_COSTING!C25</f>
        <v>43999200</v>
      </c>
      <c r="C16" s="25" t="n">
        <f aca="false">P2_COSTING!C15</f>
        <v>34931250</v>
      </c>
      <c r="D16" s="25" t="n">
        <f aca="false">P3_COSTING!C12</f>
        <v>111078000</v>
      </c>
      <c r="E16" s="26" t="n">
        <f aca="false">SUM(B16:D16)</f>
        <v>190008450</v>
      </c>
      <c r="F16" s="27" t="n">
        <f aca="false">IFERROR(B16/B$6,0)</f>
        <v>10999800</v>
      </c>
      <c r="G16" s="27" t="n">
        <f aca="false">IFERROR(C16/C$6,0)</f>
        <v>9980357.14285714</v>
      </c>
      <c r="H16" s="27" t="n">
        <f aca="false">IFERROR(D16/D$6,0)</f>
        <v>44431200</v>
      </c>
    </row>
    <row r="17" customFormat="false" ht="16.5" hidden="false" customHeight="true" outlineLevel="0" collapsed="false">
      <c r="A17" s="28" t="s">
        <v>22</v>
      </c>
      <c r="B17" s="29" t="n">
        <f aca="false">P1_COSTING!C37</f>
        <v>5985000</v>
      </c>
      <c r="C17" s="29" t="n">
        <f aca="false">P2_COSTING!C21</f>
        <v>5192250</v>
      </c>
      <c r="D17" s="29" t="n">
        <f aca="false">P3_COSTING!C16</f>
        <v>22215600</v>
      </c>
      <c r="E17" s="30" t="n">
        <f aca="false">SUM(B17:D17)</f>
        <v>33392850</v>
      </c>
      <c r="F17" s="31" t="n">
        <f aca="false">IFERROR(B17/B$6,0)</f>
        <v>1496250</v>
      </c>
      <c r="G17" s="31" t="n">
        <f aca="false">IFERROR(C17/C$6,0)</f>
        <v>1483500</v>
      </c>
      <c r="H17" s="31" t="n">
        <f aca="false">IFERROR(D17/D$6,0)</f>
        <v>8886240</v>
      </c>
    </row>
    <row r="18" customFormat="false" ht="16.5" hidden="false" customHeight="true" outlineLevel="0" collapsed="false">
      <c r="A18" s="32" t="s">
        <v>23</v>
      </c>
      <c r="B18" s="33" t="n">
        <f aca="false">P1_COSTING!C48</f>
        <v>2856960</v>
      </c>
      <c r="C18" s="33" t="n">
        <f aca="false">P2_COSTING!C25</f>
        <v>450000</v>
      </c>
      <c r="D18" s="33" t="n">
        <f aca="false">P3_COSTING!C20</f>
        <v>6664680</v>
      </c>
      <c r="E18" s="34" t="n">
        <f aca="false">SUM(B18:D18)</f>
        <v>9971640</v>
      </c>
      <c r="F18" s="35" t="n">
        <f aca="false">IFERROR(B18/B$6,0)</f>
        <v>714240</v>
      </c>
      <c r="G18" s="35" t="n">
        <f aca="false">IFERROR(C18/C$6,0)</f>
        <v>128571.428571429</v>
      </c>
      <c r="H18" s="35" t="n">
        <f aca="false">IFERROR(D18/D$6,0)</f>
        <v>2665872</v>
      </c>
    </row>
    <row r="19" customFormat="false" ht="16.5" hidden="false" customHeight="true" outlineLevel="0" collapsed="false">
      <c r="A19" s="36" t="s">
        <v>24</v>
      </c>
      <c r="B19" s="37" t="n">
        <f aca="false">P1_COSTING!C59</f>
        <v>12880269.138</v>
      </c>
      <c r="C19" s="37" t="n">
        <f aca="false">P2_COSTING!C30</f>
        <v>11616199.5594</v>
      </c>
      <c r="D19" s="37" t="n">
        <f aca="false">P3_COSTING!C24</f>
        <v>4160000</v>
      </c>
      <c r="E19" s="38" t="n">
        <f aca="false">SUM(B19:D19)</f>
        <v>28656468.6974</v>
      </c>
      <c r="F19" s="39" t="n">
        <f aca="false">IFERROR(B19/B$6,0)</f>
        <v>3220067.2845</v>
      </c>
      <c r="G19" s="39" t="n">
        <f aca="false">IFERROR(C19/C$6,0)</f>
        <v>3318914.15982857</v>
      </c>
      <c r="H19" s="39" t="n">
        <f aca="false">IFERROR(D19/D$6,0)</f>
        <v>1664000</v>
      </c>
    </row>
    <row r="20" customFormat="false" ht="24" hidden="false" customHeight="true" outlineLevel="0" collapsed="false">
      <c r="A20" s="40" t="s">
        <v>25</v>
      </c>
      <c r="B20" s="41" t="n">
        <f aca="false">SUM(B15:B19)</f>
        <v>79253429.138</v>
      </c>
      <c r="C20" s="41" t="n">
        <f aca="false">SUM(C15:C19)</f>
        <v>64267199.5594</v>
      </c>
      <c r="D20" s="41" t="n">
        <f aca="false">SUM(D15:D19)</f>
        <v>152030780</v>
      </c>
      <c r="E20" s="41" t="n">
        <f aca="false">SUM(B20:D20)</f>
        <v>295551408.6974</v>
      </c>
      <c r="F20" s="42" t="n">
        <f aca="false">IFERROR(B20/B12,0)</f>
        <v>0.285524669986319</v>
      </c>
      <c r="G20" s="42" t="n">
        <f aca="false">IFERROR(C20/C12,0)</f>
        <v>0.253571557196526</v>
      </c>
      <c r="H20" s="42" t="n">
        <f aca="false">IFERROR(D20/D12,0)</f>
        <v>2.92366884615385</v>
      </c>
    </row>
    <row r="21" customFormat="false" ht="6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</row>
    <row r="22" customFormat="false" ht="21.75" hidden="false" customHeight="true" outlineLevel="0" collapsed="false">
      <c r="A22" s="43" t="s">
        <v>26</v>
      </c>
      <c r="B22" s="44" t="n">
        <f aca="false">B12-B20</f>
        <v>198317784.382</v>
      </c>
      <c r="C22" s="44" t="n">
        <f aca="false">C12-C20</f>
        <v>189180782.8166</v>
      </c>
      <c r="D22" s="44" t="n">
        <f aca="false">D12-D20</f>
        <v>-100030780</v>
      </c>
      <c r="E22" s="44" t="n">
        <f aca="false">SUM(B22:D22)</f>
        <v>287467787.1986</v>
      </c>
      <c r="F22" s="45" t="n">
        <f aca="false">IFERROR(B22/B12,0)</f>
        <v>0.714475330013681</v>
      </c>
      <c r="G22" s="45" t="n">
        <f aca="false">IFERROR(C22/C12,0)</f>
        <v>0.746428442803474</v>
      </c>
      <c r="H22" s="45" t="n">
        <f aca="false">IFERROR(D22/D12,0)</f>
        <v>-1.92366884615385</v>
      </c>
    </row>
    <row r="23" customFormat="false" ht="6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</row>
    <row r="24" customFormat="false" ht="18" hidden="false" customHeight="true" outlineLevel="0" collapsed="false">
      <c r="A24" s="9" t="s">
        <v>27</v>
      </c>
      <c r="B24" s="9"/>
      <c r="C24" s="9"/>
      <c r="D24" s="9"/>
      <c r="E24" s="9"/>
      <c r="F24" s="9"/>
      <c r="G24" s="9"/>
      <c r="H24" s="9"/>
    </row>
    <row r="25" customFormat="false" ht="15" hidden="false" customHeight="true" outlineLevel="0" collapsed="false">
      <c r="A25" s="46" t="s">
        <v>28</v>
      </c>
      <c r="B25" s="47" t="n">
        <f aca="false">IFERROR(B22/B12,0)</f>
        <v>0.714475330013681</v>
      </c>
      <c r="C25" s="47" t="n">
        <f aca="false">IFERROR(C22/C12,0)</f>
        <v>0.746428442803474</v>
      </c>
      <c r="D25" s="47" t="n">
        <f aca="false">IFERROR(D22/D12,0)</f>
        <v>-1.92366884615385</v>
      </c>
      <c r="E25" s="47" t="n">
        <f aca="false">IFERROR(E22/E12,0)</f>
        <v>0.493067448245527</v>
      </c>
      <c r="F25" s="48"/>
      <c r="G25" s="48"/>
      <c r="H25" s="48"/>
    </row>
    <row r="26" customFormat="false" ht="15" hidden="false" customHeight="true" outlineLevel="0" collapsed="false">
      <c r="A26" s="46" t="s">
        <v>29</v>
      </c>
      <c r="B26" s="49" t="n">
        <f aca="false">IFERROR(B15/B12,0)</f>
        <v>0.0487514531078165</v>
      </c>
      <c r="C26" s="49" t="n">
        <f aca="false">IFERROR(C15/C12,0)</f>
        <v>0.0476527762690277</v>
      </c>
      <c r="D26" s="49" t="n">
        <f aca="false">IFERROR(D15/D12,0)</f>
        <v>0.152163461538462</v>
      </c>
      <c r="E26" s="49" t="n">
        <f aca="false">IFERROR(E15/E12,0)</f>
        <v>0.0574972492088918</v>
      </c>
      <c r="F26" s="48"/>
      <c r="G26" s="48"/>
      <c r="H26" s="48"/>
    </row>
    <row r="27" customFormat="false" ht="15" hidden="false" customHeight="true" outlineLevel="0" collapsed="false">
      <c r="A27" s="46" t="s">
        <v>30</v>
      </c>
      <c r="B27" s="49" t="n">
        <f aca="false">IFERROR(B16/B12,0)</f>
        <v>0.158514996717517</v>
      </c>
      <c r="C27" s="49" t="n">
        <f aca="false">IFERROR(C16/C12,0)</f>
        <v>0.137824139188365</v>
      </c>
      <c r="D27" s="49" t="n">
        <f aca="false">IFERROR(D16/D12,0)</f>
        <v>2.13611538461538</v>
      </c>
      <c r="E27" s="49" t="n">
        <f aca="false">IFERROR(E16/E12,0)</f>
        <v>0.325904277830835</v>
      </c>
      <c r="F27" s="48"/>
      <c r="G27" s="48"/>
      <c r="H27" s="48"/>
    </row>
    <row r="28" customFormat="false" ht="6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</row>
    <row r="29" customFormat="false" ht="18" hidden="false" customHeight="true" outlineLevel="0" collapsed="false">
      <c r="A29" s="50" t="s">
        <v>31</v>
      </c>
      <c r="B29" s="50"/>
      <c r="C29" s="50"/>
      <c r="D29" s="50"/>
      <c r="E29" s="50"/>
      <c r="F29" s="50"/>
      <c r="G29" s="50"/>
      <c r="H29" s="50"/>
    </row>
  </sheetData>
  <mergeCells count="12">
    <mergeCell ref="A1:H1"/>
    <mergeCell ref="A2:H2"/>
    <mergeCell ref="A5:H5"/>
    <mergeCell ref="A10:H10"/>
    <mergeCell ref="A11:H11"/>
    <mergeCell ref="A13:H13"/>
    <mergeCell ref="A14:H14"/>
    <mergeCell ref="A21:H21"/>
    <mergeCell ref="A23:H23"/>
    <mergeCell ref="A24:H24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32"/>
  </cols>
  <sheetData>
    <row r="1" customFormat="false" ht="25.5" hidden="false" customHeight="true" outlineLevel="0" collapsed="false">
      <c r="A1" s="51" t="s">
        <v>32</v>
      </c>
      <c r="B1" s="51"/>
      <c r="C1" s="51"/>
      <c r="D1" s="51"/>
    </row>
    <row r="2" customFormat="false" ht="15" hidden="false" customHeight="true" outlineLevel="0" collapsed="false">
      <c r="A2" s="52" t="s">
        <v>33</v>
      </c>
      <c r="B2" s="52"/>
      <c r="C2" s="52"/>
      <c r="D2" s="52"/>
    </row>
    <row r="4" customFormat="false" ht="19.5" hidden="false" customHeight="true" outlineLevel="0" collapsed="false">
      <c r="A4" s="9" t="s">
        <v>34</v>
      </c>
      <c r="B4" s="9"/>
      <c r="C4" s="9"/>
      <c r="D4" s="9"/>
    </row>
    <row r="5" customFormat="false" ht="18" hidden="false" customHeight="true" outlineLevel="0" collapsed="false">
      <c r="A5" s="53" t="s">
        <v>35</v>
      </c>
      <c r="B5" s="54" t="s">
        <v>36</v>
      </c>
      <c r="C5" s="55"/>
      <c r="D5" s="56"/>
    </row>
    <row r="6" customFormat="false" ht="18" hidden="false" customHeight="true" outlineLevel="0" collapsed="false">
      <c r="A6" s="53" t="s">
        <v>37</v>
      </c>
      <c r="B6" s="54" t="s">
        <v>38</v>
      </c>
      <c r="C6" s="55"/>
      <c r="D6" s="56"/>
    </row>
    <row r="7" customFormat="false" ht="18" hidden="false" customHeight="true" outlineLevel="0" collapsed="false">
      <c r="A7" s="53" t="s">
        <v>39</v>
      </c>
      <c r="B7" s="54" t="s">
        <v>40</v>
      </c>
      <c r="C7" s="55"/>
      <c r="D7" s="56"/>
    </row>
    <row r="8" customFormat="false" ht="18" hidden="false" customHeight="true" outlineLevel="0" collapsed="false">
      <c r="A8" s="53" t="s">
        <v>41</v>
      </c>
      <c r="B8" s="54" t="s">
        <v>42</v>
      </c>
      <c r="C8" s="55"/>
      <c r="D8" s="56"/>
    </row>
    <row r="9" customFormat="false" ht="18" hidden="false" customHeight="true" outlineLevel="0" collapsed="false">
      <c r="A9" s="53" t="s">
        <v>43</v>
      </c>
      <c r="B9" s="54" t="n">
        <v>30</v>
      </c>
      <c r="C9" s="55" t="s">
        <v>44</v>
      </c>
      <c r="D9" s="56"/>
    </row>
    <row r="11" customFormat="false" ht="19.5" hidden="false" customHeight="true" outlineLevel="0" collapsed="false">
      <c r="A11" s="17" t="s">
        <v>45</v>
      </c>
      <c r="B11" s="17"/>
      <c r="C11" s="17"/>
      <c r="D11" s="17"/>
    </row>
    <row r="12" customFormat="false" ht="18" hidden="false" customHeight="true" outlineLevel="0" collapsed="false">
      <c r="A12" s="57" t="s">
        <v>13</v>
      </c>
      <c r="B12" s="58" t="n">
        <v>4</v>
      </c>
      <c r="C12" s="59" t="s">
        <v>46</v>
      </c>
      <c r="D12" s="60" t="s">
        <v>47</v>
      </c>
    </row>
    <row r="13" customFormat="false" ht="18" hidden="false" customHeight="true" outlineLevel="0" collapsed="false">
      <c r="A13" s="57" t="s">
        <v>48</v>
      </c>
      <c r="B13" s="58" t="n">
        <v>3.5</v>
      </c>
      <c r="C13" s="59"/>
      <c r="D13" s="60" t="s">
        <v>49</v>
      </c>
    </row>
    <row r="14" customFormat="false" ht="18" hidden="false" customHeight="true" outlineLevel="0" collapsed="false">
      <c r="A14" s="57" t="s">
        <v>50</v>
      </c>
      <c r="B14" s="61" t="n">
        <f aca="false">B12*43560*B13</f>
        <v>609840</v>
      </c>
      <c r="C14" s="59" t="s">
        <v>51</v>
      </c>
      <c r="D14" s="60" t="s">
        <v>52</v>
      </c>
    </row>
    <row r="15" customFormat="false" ht="18" hidden="false" customHeight="true" outlineLevel="0" collapsed="false">
      <c r="A15" s="57" t="s">
        <v>53</v>
      </c>
      <c r="B15" s="58" t="n">
        <v>0.78</v>
      </c>
      <c r="C15" s="59" t="s">
        <v>54</v>
      </c>
      <c r="D15" s="60" t="s">
        <v>55</v>
      </c>
    </row>
    <row r="16" customFormat="false" ht="18" hidden="false" customHeight="true" outlineLevel="0" collapsed="false">
      <c r="A16" s="57" t="s">
        <v>56</v>
      </c>
      <c r="B16" s="61" t="n">
        <f aca="false">B14*B15</f>
        <v>475675.2</v>
      </c>
      <c r="C16" s="59" t="s">
        <v>51</v>
      </c>
      <c r="D16" s="60" t="s">
        <v>57</v>
      </c>
    </row>
    <row r="17" customFormat="false" ht="18" hidden="false" customHeight="true" outlineLevel="0" collapsed="false">
      <c r="A17" s="57" t="s">
        <v>58</v>
      </c>
      <c r="B17" s="58" t="n">
        <v>900</v>
      </c>
      <c r="C17" s="59" t="s">
        <v>51</v>
      </c>
      <c r="D17" s="60"/>
    </row>
    <row r="18" customFormat="false" ht="18" hidden="false" customHeight="true" outlineLevel="0" collapsed="false">
      <c r="A18" s="57" t="s">
        <v>16</v>
      </c>
      <c r="B18" s="61" t="n">
        <f aca="false">ROUND(B16/B17,0)</f>
        <v>529</v>
      </c>
      <c r="C18" s="59" t="s">
        <v>59</v>
      </c>
      <c r="D18" s="60" t="s">
        <v>60</v>
      </c>
    </row>
    <row r="20" customFormat="false" ht="19.5" hidden="false" customHeight="true" outlineLevel="0" collapsed="false">
      <c r="A20" s="62" t="s">
        <v>61</v>
      </c>
      <c r="B20" s="62"/>
      <c r="C20" s="62"/>
      <c r="D20" s="62"/>
    </row>
    <row r="21" customFormat="false" ht="18" hidden="false" customHeight="true" outlineLevel="0" collapsed="false">
      <c r="A21" s="63" t="s">
        <v>62</v>
      </c>
      <c r="B21" s="64" t="n">
        <v>650</v>
      </c>
      <c r="C21" s="65" t="s">
        <v>63</v>
      </c>
      <c r="D21" s="66" t="s">
        <v>64</v>
      </c>
    </row>
    <row r="22" customFormat="false" ht="18" hidden="false" customHeight="true" outlineLevel="0" collapsed="false">
      <c r="A22" s="63" t="s">
        <v>65</v>
      </c>
      <c r="B22" s="64" t="n">
        <v>0.3</v>
      </c>
      <c r="C22" s="65" t="s">
        <v>54</v>
      </c>
      <c r="D22" s="66" t="s">
        <v>66</v>
      </c>
    </row>
    <row r="23" customFormat="false" ht="18" hidden="false" customHeight="true" outlineLevel="0" collapsed="false">
      <c r="A23" s="63" t="s">
        <v>67</v>
      </c>
      <c r="B23" s="64" t="n">
        <v>0.07</v>
      </c>
      <c r="C23" s="65" t="s">
        <v>54</v>
      </c>
      <c r="D23" s="66" t="s">
        <v>68</v>
      </c>
    </row>
    <row r="24" customFormat="false" ht="18" hidden="false" customHeight="true" outlineLevel="0" collapsed="false">
      <c r="A24" s="63" t="s">
        <v>69</v>
      </c>
      <c r="B24" s="64" t="n">
        <v>0.1</v>
      </c>
      <c r="C24" s="65" t="s">
        <v>54</v>
      </c>
      <c r="D24" s="66"/>
    </row>
    <row r="25" customFormat="false" ht="18" hidden="false" customHeight="true" outlineLevel="0" collapsed="false">
      <c r="A25" s="63" t="s">
        <v>70</v>
      </c>
      <c r="B25" s="64" t="n">
        <v>42000</v>
      </c>
      <c r="C25" s="65" t="s">
        <v>71</v>
      </c>
      <c r="D25" s="66" t="s">
        <v>72</v>
      </c>
    </row>
    <row r="26" customFormat="false" ht="18" hidden="false" customHeight="true" outlineLevel="0" collapsed="false">
      <c r="A26" s="63" t="s">
        <v>73</v>
      </c>
      <c r="B26" s="64" t="n">
        <v>80</v>
      </c>
      <c r="C26" s="65" t="s">
        <v>74</v>
      </c>
      <c r="D26" s="66"/>
    </row>
    <row r="27" customFormat="false" ht="18" hidden="false" customHeight="true" outlineLevel="0" collapsed="false">
      <c r="A27" s="63" t="s">
        <v>75</v>
      </c>
      <c r="B27" s="64" t="n">
        <v>45000</v>
      </c>
      <c r="C27" s="65" t="s">
        <v>76</v>
      </c>
      <c r="D27" s="66"/>
    </row>
    <row r="29" customFormat="false" ht="18" hidden="false" customHeight="true" outlineLevel="0" collapsed="false">
      <c r="A29" s="63" t="s">
        <v>77</v>
      </c>
      <c r="B29" s="67" t="n">
        <f aca="false">B16*B21</f>
        <v>309188880</v>
      </c>
      <c r="C29" s="65" t="s">
        <v>78</v>
      </c>
      <c r="D29" s="66" t="s">
        <v>79</v>
      </c>
    </row>
    <row r="30" customFormat="false" ht="18" hidden="false" customHeight="true" outlineLevel="0" collapsed="false">
      <c r="A30" s="63" t="s">
        <v>80</v>
      </c>
      <c r="B30" s="67" t="n">
        <f aca="false">-(B16*B22*B21*B23)</f>
        <v>-6492966.48</v>
      </c>
      <c r="C30" s="65" t="s">
        <v>78</v>
      </c>
      <c r="D30" s="66" t="s">
        <v>81</v>
      </c>
    </row>
    <row r="31" customFormat="false" ht="18" hidden="false" customHeight="true" outlineLevel="0" collapsed="false">
      <c r="A31" s="63" t="s">
        <v>82</v>
      </c>
      <c r="B31" s="67" t="n">
        <f aca="false">-(B18*B24*(B21*B17-B25))</f>
        <v>-28724700</v>
      </c>
      <c r="C31" s="65" t="s">
        <v>78</v>
      </c>
      <c r="D31" s="66" t="s">
        <v>83</v>
      </c>
    </row>
    <row r="32" customFormat="false" ht="18" hidden="false" customHeight="true" outlineLevel="0" collapsed="false">
      <c r="A32" s="63" t="s">
        <v>84</v>
      </c>
      <c r="B32" s="67" t="n">
        <f aca="false">B26*B27</f>
        <v>3600000</v>
      </c>
      <c r="C32" s="65" t="s">
        <v>78</v>
      </c>
      <c r="D32" s="66"/>
    </row>
    <row r="34" customFormat="false" ht="21.75" hidden="false" customHeight="true" outlineLevel="0" collapsed="false">
      <c r="A34" s="68" t="s">
        <v>85</v>
      </c>
      <c r="B34" s="69" t="n">
        <f aca="false">SUM(B29:B32)</f>
        <v>277571213.52</v>
      </c>
      <c r="C34" s="70" t="s">
        <v>78</v>
      </c>
      <c r="D34" s="71" t="s">
        <v>86</v>
      </c>
    </row>
  </sheetData>
  <mergeCells count="5">
    <mergeCell ref="A1:D1"/>
    <mergeCell ref="A2:D2"/>
    <mergeCell ref="A4:D4"/>
    <mergeCell ref="A11:D1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8" min="7" style="1" width="13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51" t="s">
        <v>87</v>
      </c>
      <c r="B1" s="51"/>
      <c r="C1" s="51"/>
      <c r="D1" s="51"/>
      <c r="E1" s="51"/>
      <c r="F1" s="51"/>
      <c r="G1" s="51"/>
      <c r="H1" s="51"/>
      <c r="I1" s="51"/>
    </row>
    <row r="2" customFormat="false" ht="15" hidden="false" customHeight="true" outlineLevel="0" collapsed="false">
      <c r="A2" s="52" t="s">
        <v>88</v>
      </c>
      <c r="B2" s="52"/>
      <c r="C2" s="52"/>
      <c r="D2" s="52"/>
      <c r="E2" s="52"/>
      <c r="F2" s="52"/>
      <c r="G2" s="52"/>
      <c r="H2" s="52"/>
      <c r="I2" s="52"/>
    </row>
    <row r="3" customFormat="false" ht="27.75" hidden="false" customHeight="true" outlineLevel="0" collapsed="false">
      <c r="A3" s="8" t="s">
        <v>89</v>
      </c>
      <c r="B3" s="8" t="s">
        <v>90</v>
      </c>
      <c r="C3" s="8" t="s">
        <v>91</v>
      </c>
      <c r="D3" s="8" t="s">
        <v>92</v>
      </c>
      <c r="E3" s="8" t="s">
        <v>93</v>
      </c>
      <c r="F3" s="8" t="s">
        <v>94</v>
      </c>
      <c r="G3" s="8" t="s">
        <v>95</v>
      </c>
      <c r="H3" s="8" t="s">
        <v>96</v>
      </c>
      <c r="I3" s="8" t="s">
        <v>97</v>
      </c>
    </row>
    <row r="5" customFormat="false" ht="19.5" hidden="false" customHeight="true" outlineLevel="0" collapsed="false">
      <c r="A5" s="72" t="s">
        <v>98</v>
      </c>
      <c r="B5" s="17" t="s">
        <v>99</v>
      </c>
      <c r="C5" s="17"/>
      <c r="D5" s="17"/>
      <c r="E5" s="17"/>
      <c r="F5" s="17"/>
      <c r="G5" s="73"/>
      <c r="H5" s="73"/>
      <c r="I5" s="74" t="s">
        <v>100</v>
      </c>
    </row>
    <row r="6" customFormat="false" ht="16.5" hidden="false" customHeight="true" outlineLevel="0" collapsed="false">
      <c r="A6" s="75" t="s">
        <v>101</v>
      </c>
      <c r="B6" s="76" t="s">
        <v>102</v>
      </c>
      <c r="C6" s="77" t="n">
        <v>12000000</v>
      </c>
      <c r="D6" s="77" t="n">
        <v>0</v>
      </c>
      <c r="E6" s="77" t="n">
        <v>0</v>
      </c>
      <c r="F6" s="61" t="n">
        <f aca="false">C6-E6</f>
        <v>12000000</v>
      </c>
      <c r="G6" s="78" t="n">
        <f aca="false">IFERROR(C6/P1_INPUT!B16,0)</f>
        <v>25.2272979545707</v>
      </c>
      <c r="H6" s="78" t="n">
        <f aca="false">IFERROR(E6/P1_INPUT!B16,0)</f>
        <v>0</v>
      </c>
      <c r="I6" s="60" t="s">
        <v>103</v>
      </c>
    </row>
    <row r="7" customFormat="false" ht="16.5" hidden="false" customHeight="true" outlineLevel="0" collapsed="false">
      <c r="A7" s="75" t="s">
        <v>104</v>
      </c>
      <c r="B7" s="76" t="s">
        <v>105</v>
      </c>
      <c r="C7" s="61" t="n">
        <f aca="false">IFERROR(IF(C6&lt;=100000,C6*0.01,IF(C6&lt;=500000,1000+(C6-100000)*0.02,IF(C6&lt;=1000000,9000+(C6-500000)*0.03,24000+(C6-1000000)*0.04))),0)</f>
        <v>464000</v>
      </c>
      <c r="D7" s="77" t="n">
        <v>0</v>
      </c>
      <c r="E7" s="77" t="n">
        <v>0</v>
      </c>
      <c r="F7" s="61" t="n">
        <f aca="false">C7-E7</f>
        <v>464000</v>
      </c>
      <c r="G7" s="78" t="n">
        <f aca="false">IFERROR(C7/P1_INPUT!B16,0)</f>
        <v>0.975455520910066</v>
      </c>
      <c r="H7" s="78" t="n">
        <f aca="false">IFERROR(E7/P1_INPUT!B16,0)</f>
        <v>0</v>
      </c>
      <c r="I7" s="60" t="s">
        <v>106</v>
      </c>
    </row>
    <row r="8" customFormat="false" ht="16.5" hidden="false" customHeight="true" outlineLevel="0" collapsed="false">
      <c r="A8" s="75" t="s">
        <v>107</v>
      </c>
      <c r="B8" s="76" t="s">
        <v>108</v>
      </c>
      <c r="C8" s="61" t="n">
        <f aca="false">C6*0.01</f>
        <v>120000</v>
      </c>
      <c r="D8" s="77" t="n">
        <v>0</v>
      </c>
      <c r="E8" s="77" t="n">
        <v>0</v>
      </c>
      <c r="F8" s="61" t="n">
        <f aca="false">C8-E8</f>
        <v>120000</v>
      </c>
      <c r="G8" s="78" t="n">
        <f aca="false">IFERROR(C8/P1_INPUT!B16,0)</f>
        <v>0.252272979545707</v>
      </c>
      <c r="H8" s="78" t="n">
        <f aca="false">IFERROR(E8/P1_INPUT!B16,0)</f>
        <v>0</v>
      </c>
      <c r="I8" s="60" t="s">
        <v>109</v>
      </c>
    </row>
    <row r="9" customFormat="false" ht="16.5" hidden="false" customHeight="true" outlineLevel="0" collapsed="false">
      <c r="A9" s="75" t="s">
        <v>110</v>
      </c>
      <c r="B9" s="76" t="s">
        <v>111</v>
      </c>
      <c r="C9" s="77" t="n">
        <v>500000</v>
      </c>
      <c r="D9" s="77" t="n">
        <v>0</v>
      </c>
      <c r="E9" s="77" t="n">
        <v>0</v>
      </c>
      <c r="F9" s="61" t="n">
        <f aca="false">C9-E9</f>
        <v>500000</v>
      </c>
      <c r="G9" s="78" t="n">
        <f aca="false">IFERROR(C9/P1_INPUT!B16,0)</f>
        <v>1.05113741477378</v>
      </c>
      <c r="H9" s="78" t="n">
        <f aca="false">IFERROR(E9/P1_INPUT!B16,0)</f>
        <v>0</v>
      </c>
      <c r="I9" s="60" t="s">
        <v>112</v>
      </c>
    </row>
    <row r="10" customFormat="false" ht="16.5" hidden="false" customHeight="true" outlineLevel="0" collapsed="false">
      <c r="A10" s="75" t="s">
        <v>113</v>
      </c>
      <c r="B10" s="76" t="s">
        <v>114</v>
      </c>
      <c r="C10" s="77" t="n">
        <v>400000</v>
      </c>
      <c r="D10" s="77" t="n">
        <v>0</v>
      </c>
      <c r="E10" s="77" t="n">
        <v>0</v>
      </c>
      <c r="F10" s="61" t="n">
        <f aca="false">C10-E10</f>
        <v>400000</v>
      </c>
      <c r="G10" s="78" t="n">
        <f aca="false">IFERROR(C10/P1_INPUT!B16,0)</f>
        <v>0.840909931819023</v>
      </c>
      <c r="H10" s="78" t="n">
        <f aca="false">IFERROR(E10/P1_INPUT!B16,0)</f>
        <v>0</v>
      </c>
      <c r="I10" s="60" t="s">
        <v>115</v>
      </c>
    </row>
    <row r="11" customFormat="false" ht="16.5" hidden="false" customHeight="true" outlineLevel="0" collapsed="false">
      <c r="A11" s="75" t="s">
        <v>116</v>
      </c>
      <c r="B11" s="76" t="s">
        <v>117</v>
      </c>
      <c r="C11" s="61" t="n">
        <f aca="false">C6*0.004</f>
        <v>48000</v>
      </c>
      <c r="D11" s="77" t="n">
        <v>0</v>
      </c>
      <c r="E11" s="77" t="n">
        <v>0</v>
      </c>
      <c r="F11" s="61" t="n">
        <f aca="false">C11-E11</f>
        <v>48000</v>
      </c>
      <c r="G11" s="78" t="n">
        <f aca="false">IFERROR(C11/P1_INPUT!B16,0)</f>
        <v>0.100909191818283</v>
      </c>
      <c r="H11" s="78" t="n">
        <f aca="false">IFERROR(E11/P1_INPUT!B16,0)</f>
        <v>0</v>
      </c>
      <c r="I11" s="60" t="s">
        <v>118</v>
      </c>
    </row>
    <row r="12" customFormat="false" ht="19.5" hidden="false" customHeight="true" outlineLevel="0" collapsed="false">
      <c r="A12" s="73"/>
      <c r="B12" s="17" t="s">
        <v>119</v>
      </c>
      <c r="C12" s="79" t="n">
        <f aca="false">SUM(C6:C11)</f>
        <v>13532000</v>
      </c>
      <c r="D12" s="79" t="n">
        <f aca="false">SUM(D6:D11)</f>
        <v>0</v>
      </c>
      <c r="E12" s="79" t="n">
        <f aca="false">SUM(E6:E11)</f>
        <v>0</v>
      </c>
      <c r="F12" s="79" t="n">
        <f aca="false">C12-E12</f>
        <v>13532000</v>
      </c>
      <c r="G12" s="80" t="n">
        <f aca="false">IFERROR(C12/P1_INPUT!B16,0)</f>
        <v>28.4479829934375</v>
      </c>
      <c r="H12" s="80" t="n">
        <f aca="false">IFERROR(E12/P1_INPUT!B16,0)</f>
        <v>0</v>
      </c>
      <c r="I12" s="81" t="n">
        <f aca="false">IFERROR(C12/P1_INPUT!B34,0)</f>
        <v>0.0487514531078165</v>
      </c>
    </row>
    <row r="13" customFormat="false" ht="6" hidden="false" customHeight="true" outlineLevel="0" collapsed="false">
      <c r="A13" s="82"/>
      <c r="B13" s="82"/>
      <c r="C13" s="82"/>
      <c r="D13" s="82"/>
      <c r="E13" s="82"/>
      <c r="F13" s="82"/>
      <c r="G13" s="82"/>
      <c r="H13" s="82"/>
      <c r="I13" s="82"/>
    </row>
    <row r="14" customFormat="false" ht="19.5" hidden="false" customHeight="true" outlineLevel="0" collapsed="false">
      <c r="A14" s="83" t="s">
        <v>120</v>
      </c>
      <c r="B14" s="50" t="s">
        <v>121</v>
      </c>
      <c r="C14" s="50"/>
      <c r="D14" s="50"/>
      <c r="E14" s="50"/>
      <c r="F14" s="50"/>
      <c r="G14" s="84"/>
      <c r="H14" s="84"/>
      <c r="I14" s="85" t="s">
        <v>122</v>
      </c>
    </row>
    <row r="15" customFormat="false" ht="16.5" hidden="false" customHeight="true" outlineLevel="0" collapsed="false">
      <c r="A15" s="86" t="s">
        <v>123</v>
      </c>
      <c r="B15" s="87" t="s">
        <v>124</v>
      </c>
      <c r="C15" s="88" t="n">
        <v>3200000</v>
      </c>
      <c r="D15" s="88" t="n">
        <v>0</v>
      </c>
      <c r="E15" s="88" t="n">
        <v>0</v>
      </c>
      <c r="F15" s="89" t="n">
        <f aca="false">C15-E15</f>
        <v>3200000</v>
      </c>
      <c r="G15" s="90" t="n">
        <f aca="false">IFERROR(C15/P1_INPUT!B16,0)</f>
        <v>6.72727945455218</v>
      </c>
      <c r="H15" s="90" t="n">
        <f aca="false">IFERROR(E15/P1_INPUT!B16,0)</f>
        <v>0</v>
      </c>
      <c r="I15" s="91" t="s">
        <v>125</v>
      </c>
    </row>
    <row r="16" customFormat="false" ht="16.5" hidden="false" customHeight="true" outlineLevel="0" collapsed="false">
      <c r="A16" s="86" t="s">
        <v>126</v>
      </c>
      <c r="B16" s="87" t="s">
        <v>127</v>
      </c>
      <c r="C16" s="88" t="n">
        <v>2600000</v>
      </c>
      <c r="D16" s="88" t="n">
        <v>0</v>
      </c>
      <c r="E16" s="88" t="n">
        <v>0</v>
      </c>
      <c r="F16" s="89" t="n">
        <f aca="false">C16-E16</f>
        <v>2600000</v>
      </c>
      <c r="G16" s="90" t="n">
        <f aca="false">IFERROR(C16/P1_INPUT!B16,0)</f>
        <v>5.46591455682365</v>
      </c>
      <c r="H16" s="90" t="n">
        <f aca="false">IFERROR(E16/P1_INPUT!B16,0)</f>
        <v>0</v>
      </c>
      <c r="I16" s="91" t="s">
        <v>128</v>
      </c>
    </row>
    <row r="17" customFormat="false" ht="16.5" hidden="false" customHeight="true" outlineLevel="0" collapsed="false">
      <c r="A17" s="86" t="s">
        <v>129</v>
      </c>
      <c r="B17" s="87" t="s">
        <v>130</v>
      </c>
      <c r="C17" s="88" t="n">
        <v>15200000</v>
      </c>
      <c r="D17" s="88" t="n">
        <v>0</v>
      </c>
      <c r="E17" s="88" t="n">
        <v>0</v>
      </c>
      <c r="F17" s="89" t="n">
        <f aca="false">C17-E17</f>
        <v>15200000</v>
      </c>
      <c r="G17" s="90" t="n">
        <f aca="false">IFERROR(C17/P1_INPUT!B16,0)</f>
        <v>31.9545774091229</v>
      </c>
      <c r="H17" s="90" t="n">
        <f aca="false">IFERROR(E17/P1_INPUT!B16,0)</f>
        <v>0</v>
      </c>
      <c r="I17" s="91" t="s">
        <v>131</v>
      </c>
    </row>
    <row r="18" customFormat="false" ht="16.5" hidden="false" customHeight="true" outlineLevel="0" collapsed="false">
      <c r="A18" s="86" t="s">
        <v>132</v>
      </c>
      <c r="B18" s="87" t="s">
        <v>133</v>
      </c>
      <c r="C18" s="88" t="n">
        <v>8800000</v>
      </c>
      <c r="D18" s="88" t="n">
        <v>0</v>
      </c>
      <c r="E18" s="88" t="n">
        <v>0</v>
      </c>
      <c r="F18" s="89" t="n">
        <f aca="false">C18-E18</f>
        <v>8800000</v>
      </c>
      <c r="G18" s="90" t="n">
        <f aca="false">IFERROR(C18/P1_INPUT!B16,0)</f>
        <v>18.5000185000185</v>
      </c>
      <c r="H18" s="90" t="n">
        <f aca="false">IFERROR(E18/P1_INPUT!B16,0)</f>
        <v>0</v>
      </c>
      <c r="I18" s="91" t="s">
        <v>134</v>
      </c>
    </row>
    <row r="19" customFormat="false" ht="16.5" hidden="false" customHeight="true" outlineLevel="0" collapsed="false">
      <c r="A19" s="86" t="s">
        <v>135</v>
      </c>
      <c r="B19" s="87" t="s">
        <v>136</v>
      </c>
      <c r="C19" s="88" t="n">
        <v>3600000</v>
      </c>
      <c r="D19" s="88" t="n">
        <v>0</v>
      </c>
      <c r="E19" s="88" t="n">
        <v>0</v>
      </c>
      <c r="F19" s="89" t="n">
        <f aca="false">C19-E19</f>
        <v>3600000</v>
      </c>
      <c r="G19" s="90" t="n">
        <f aca="false">IFERROR(C19/P1_INPUT!B16,0)</f>
        <v>7.56818938637121</v>
      </c>
      <c r="H19" s="90" t="n">
        <f aca="false">IFERROR(E19/P1_INPUT!B16,0)</f>
        <v>0</v>
      </c>
      <c r="I19" s="91" t="s">
        <v>137</v>
      </c>
    </row>
    <row r="20" customFormat="false" ht="16.5" hidden="false" customHeight="true" outlineLevel="0" collapsed="false">
      <c r="A20" s="86" t="s">
        <v>138</v>
      </c>
      <c r="B20" s="87" t="s">
        <v>139</v>
      </c>
      <c r="C20" s="88" t="n">
        <v>3000000</v>
      </c>
      <c r="D20" s="88" t="n">
        <v>0</v>
      </c>
      <c r="E20" s="88" t="n">
        <v>0</v>
      </c>
      <c r="F20" s="89" t="n">
        <f aca="false">C20-E20</f>
        <v>3000000</v>
      </c>
      <c r="G20" s="90" t="n">
        <f aca="false">IFERROR(C20/P1_INPUT!B16,0)</f>
        <v>6.30682448864267</v>
      </c>
      <c r="H20" s="90" t="n">
        <f aca="false">IFERROR(E20/P1_INPUT!B16,0)</f>
        <v>0</v>
      </c>
      <c r="I20" s="91" t="s">
        <v>140</v>
      </c>
    </row>
    <row r="21" customFormat="false" ht="16.5" hidden="false" customHeight="true" outlineLevel="0" collapsed="false">
      <c r="A21" s="86" t="s">
        <v>141</v>
      </c>
      <c r="B21" s="87" t="s">
        <v>142</v>
      </c>
      <c r="C21" s="88" t="n">
        <v>1600000</v>
      </c>
      <c r="D21" s="88" t="n">
        <v>0</v>
      </c>
      <c r="E21" s="88" t="n">
        <v>0</v>
      </c>
      <c r="F21" s="89" t="n">
        <f aca="false">C21-E21</f>
        <v>1600000</v>
      </c>
      <c r="G21" s="90" t="n">
        <f aca="false">IFERROR(C21/P1_INPUT!B16,0)</f>
        <v>3.36363972727609</v>
      </c>
      <c r="H21" s="90" t="n">
        <f aca="false">IFERROR(E21/P1_INPUT!B16,0)</f>
        <v>0</v>
      </c>
      <c r="I21" s="91" t="s">
        <v>143</v>
      </c>
    </row>
    <row r="22" customFormat="false" ht="16.5" hidden="false" customHeight="true" outlineLevel="0" collapsed="false">
      <c r="A22" s="86" t="s">
        <v>144</v>
      </c>
      <c r="B22" s="87" t="s">
        <v>145</v>
      </c>
      <c r="C22" s="88" t="n">
        <v>800000</v>
      </c>
      <c r="D22" s="88" t="n">
        <v>0</v>
      </c>
      <c r="E22" s="88" t="n">
        <v>0</v>
      </c>
      <c r="F22" s="89" t="n">
        <f aca="false">C22-E22</f>
        <v>800000</v>
      </c>
      <c r="G22" s="90" t="n">
        <f aca="false">IFERROR(C22/P1_INPUT!B16,0)</f>
        <v>1.68181986363805</v>
      </c>
      <c r="H22" s="90" t="n">
        <f aca="false">IFERROR(E22/P1_INPUT!B16,0)</f>
        <v>0</v>
      </c>
      <c r="I22" s="91" t="s">
        <v>146</v>
      </c>
    </row>
    <row r="23" customFormat="false" ht="16.5" hidden="false" customHeight="true" outlineLevel="0" collapsed="false">
      <c r="A23" s="86" t="s">
        <v>147</v>
      </c>
      <c r="B23" s="87" t="s">
        <v>148</v>
      </c>
      <c r="C23" s="89" t="n">
        <f aca="false">SUM(C15:C22)*0.08</f>
        <v>3104000</v>
      </c>
      <c r="D23" s="88" t="n">
        <v>0</v>
      </c>
      <c r="E23" s="88" t="n">
        <v>0</v>
      </c>
      <c r="F23" s="89" t="n">
        <f aca="false">C23-E23</f>
        <v>3104000</v>
      </c>
      <c r="G23" s="90" t="n">
        <f aca="false">IFERROR(C23/P1_INPUT!B16,0)</f>
        <v>6.52546107091562</v>
      </c>
      <c r="H23" s="90" t="n">
        <f aca="false">IFERROR(E23/P1_INPUT!B16,0)</f>
        <v>0</v>
      </c>
      <c r="I23" s="91" t="s">
        <v>149</v>
      </c>
    </row>
    <row r="24" customFormat="false" ht="16.5" hidden="false" customHeight="true" outlineLevel="0" collapsed="false">
      <c r="A24" s="86" t="s">
        <v>150</v>
      </c>
      <c r="B24" s="87" t="s">
        <v>151</v>
      </c>
      <c r="C24" s="89" t="n">
        <f aca="false">SUM(C15:C23)*0.05</f>
        <v>2095200</v>
      </c>
      <c r="D24" s="88" t="n">
        <v>0</v>
      </c>
      <c r="E24" s="88" t="n">
        <v>0</v>
      </c>
      <c r="F24" s="89" t="n">
        <f aca="false">C24-E24</f>
        <v>2095200</v>
      </c>
      <c r="G24" s="90" t="n">
        <f aca="false">IFERROR(C24/P1_INPUT!B16,0)</f>
        <v>4.40468622286804</v>
      </c>
      <c r="H24" s="90" t="n">
        <f aca="false">IFERROR(E24/P1_INPUT!B16,0)</f>
        <v>0</v>
      </c>
      <c r="I24" s="91" t="s">
        <v>152</v>
      </c>
    </row>
    <row r="25" customFormat="false" ht="19.5" hidden="false" customHeight="true" outlineLevel="0" collapsed="false">
      <c r="A25" s="84"/>
      <c r="B25" s="50" t="s">
        <v>153</v>
      </c>
      <c r="C25" s="92" t="n">
        <f aca="false">SUM(C15:C24)</f>
        <v>43999200</v>
      </c>
      <c r="D25" s="92" t="n">
        <f aca="false">SUM(D15:D24)</f>
        <v>0</v>
      </c>
      <c r="E25" s="92" t="n">
        <f aca="false">SUM(E15:E24)</f>
        <v>0</v>
      </c>
      <c r="F25" s="92" t="n">
        <f aca="false">C25-E25</f>
        <v>43999200</v>
      </c>
      <c r="G25" s="93" t="n">
        <f aca="false">IFERROR(C25/P1_INPUT!B16,0)</f>
        <v>92.4984106802289</v>
      </c>
      <c r="H25" s="93" t="n">
        <f aca="false">IFERROR(E25/P1_INPUT!B16,0)</f>
        <v>0</v>
      </c>
      <c r="I25" s="94" t="n">
        <f aca="false">IFERROR(C25/P1_INPUT!B34,0)</f>
        <v>0.158514996717517</v>
      </c>
    </row>
    <row r="26" customFormat="false" ht="6" hidden="false" customHeight="true" outlineLevel="0" collapsed="false">
      <c r="A26" s="82"/>
      <c r="B26" s="82"/>
      <c r="C26" s="82"/>
      <c r="D26" s="82"/>
      <c r="E26" s="82"/>
      <c r="F26" s="82"/>
      <c r="G26" s="82"/>
      <c r="H26" s="82"/>
      <c r="I26" s="82"/>
    </row>
    <row r="27" customFormat="false" ht="19.5" hidden="false" customHeight="true" outlineLevel="0" collapsed="false">
      <c r="A27" s="95" t="s">
        <v>154</v>
      </c>
      <c r="B27" s="96" t="s">
        <v>155</v>
      </c>
      <c r="C27" s="96"/>
      <c r="D27" s="96"/>
      <c r="E27" s="96"/>
      <c r="F27" s="96"/>
      <c r="G27" s="97"/>
      <c r="H27" s="97"/>
      <c r="I27" s="98" t="s">
        <v>156</v>
      </c>
    </row>
    <row r="28" customFormat="false" ht="16.5" hidden="false" customHeight="true" outlineLevel="0" collapsed="false">
      <c r="A28" s="99" t="s">
        <v>157</v>
      </c>
      <c r="B28" s="100" t="s">
        <v>158</v>
      </c>
      <c r="C28" s="101" t="n">
        <v>1400000</v>
      </c>
      <c r="D28" s="101" t="n">
        <v>0</v>
      </c>
      <c r="E28" s="101" t="n">
        <v>0</v>
      </c>
      <c r="F28" s="102" t="n">
        <f aca="false">C28-E28</f>
        <v>1400000</v>
      </c>
      <c r="G28" s="103" t="n">
        <f aca="false">IFERROR(C28/P1_INPUT!B16,0)</f>
        <v>2.94318476136658</v>
      </c>
      <c r="H28" s="103" t="n">
        <f aca="false">IFERROR(E28/P1_INPUT!B16,0)</f>
        <v>0</v>
      </c>
      <c r="I28" s="104" t="s">
        <v>159</v>
      </c>
    </row>
    <row r="29" customFormat="false" ht="16.5" hidden="false" customHeight="true" outlineLevel="0" collapsed="false">
      <c r="A29" s="99" t="s">
        <v>160</v>
      </c>
      <c r="B29" s="100" t="s">
        <v>161</v>
      </c>
      <c r="C29" s="101" t="n">
        <v>700000</v>
      </c>
      <c r="D29" s="101" t="n">
        <v>0</v>
      </c>
      <c r="E29" s="101" t="n">
        <v>0</v>
      </c>
      <c r="F29" s="102" t="n">
        <f aca="false">C29-E29</f>
        <v>700000</v>
      </c>
      <c r="G29" s="103" t="n">
        <f aca="false">IFERROR(C29/P1_INPUT!B16,0)</f>
        <v>1.47159238068329</v>
      </c>
      <c r="H29" s="103" t="n">
        <f aca="false">IFERROR(E29/P1_INPUT!B16,0)</f>
        <v>0</v>
      </c>
      <c r="I29" s="104" t="s">
        <v>162</v>
      </c>
    </row>
    <row r="30" customFormat="false" ht="16.5" hidden="false" customHeight="true" outlineLevel="0" collapsed="false">
      <c r="A30" s="99" t="s">
        <v>163</v>
      </c>
      <c r="B30" s="100" t="s">
        <v>164</v>
      </c>
      <c r="C30" s="101" t="n">
        <v>880000</v>
      </c>
      <c r="D30" s="101" t="n">
        <v>0</v>
      </c>
      <c r="E30" s="101" t="n">
        <v>0</v>
      </c>
      <c r="F30" s="102" t="n">
        <f aca="false">C30-E30</f>
        <v>880000</v>
      </c>
      <c r="G30" s="103" t="n">
        <f aca="false">IFERROR(C30/P1_INPUT!B16,0)</f>
        <v>1.85000185000185</v>
      </c>
      <c r="H30" s="103" t="n">
        <f aca="false">IFERROR(E30/P1_INPUT!B16,0)</f>
        <v>0</v>
      </c>
      <c r="I30" s="104" t="s">
        <v>165</v>
      </c>
    </row>
    <row r="31" customFormat="false" ht="16.5" hidden="false" customHeight="true" outlineLevel="0" collapsed="false">
      <c r="A31" s="99" t="s">
        <v>166</v>
      </c>
      <c r="B31" s="100" t="s">
        <v>167</v>
      </c>
      <c r="C31" s="101" t="n">
        <v>600000</v>
      </c>
      <c r="D31" s="101" t="n">
        <v>0</v>
      </c>
      <c r="E31" s="101" t="n">
        <v>0</v>
      </c>
      <c r="F31" s="102" t="n">
        <f aca="false">C31-E31</f>
        <v>600000</v>
      </c>
      <c r="G31" s="103" t="n">
        <f aca="false">IFERROR(C31/P1_INPUT!B16,0)</f>
        <v>1.26136489772853</v>
      </c>
      <c r="H31" s="103" t="n">
        <f aca="false">IFERROR(E31/P1_INPUT!B16,0)</f>
        <v>0</v>
      </c>
      <c r="I31" s="104" t="s">
        <v>168</v>
      </c>
    </row>
    <row r="32" customFormat="false" ht="16.5" hidden="false" customHeight="true" outlineLevel="0" collapsed="false">
      <c r="A32" s="99" t="s">
        <v>169</v>
      </c>
      <c r="B32" s="100" t="s">
        <v>170</v>
      </c>
      <c r="C32" s="101" t="n">
        <v>360000</v>
      </c>
      <c r="D32" s="101" t="n">
        <v>0</v>
      </c>
      <c r="E32" s="101" t="n">
        <v>0</v>
      </c>
      <c r="F32" s="102" t="n">
        <f aca="false">C32-E32</f>
        <v>360000</v>
      </c>
      <c r="G32" s="103" t="n">
        <f aca="false">IFERROR(C32/P1_INPUT!B16,0)</f>
        <v>0.756818938637121</v>
      </c>
      <c r="H32" s="103" t="n">
        <f aca="false">IFERROR(E32/P1_INPUT!B16,0)</f>
        <v>0</v>
      </c>
      <c r="I32" s="104" t="s">
        <v>171</v>
      </c>
    </row>
    <row r="33" customFormat="false" ht="16.5" hidden="false" customHeight="true" outlineLevel="0" collapsed="false">
      <c r="A33" s="99" t="s">
        <v>172</v>
      </c>
      <c r="B33" s="100" t="s">
        <v>173</v>
      </c>
      <c r="C33" s="101" t="n">
        <v>280000</v>
      </c>
      <c r="D33" s="101" t="n">
        <v>0</v>
      </c>
      <c r="E33" s="101" t="n">
        <v>0</v>
      </c>
      <c r="F33" s="102" t="n">
        <f aca="false">C33-E33</f>
        <v>280000</v>
      </c>
      <c r="G33" s="103" t="n">
        <f aca="false">IFERROR(C33/P1_INPUT!B16,0)</f>
        <v>0.588636952273316</v>
      </c>
      <c r="H33" s="103" t="n">
        <f aca="false">IFERROR(E33/P1_INPUT!B16,0)</f>
        <v>0</v>
      </c>
      <c r="I33" s="104" t="s">
        <v>174</v>
      </c>
    </row>
    <row r="34" customFormat="false" ht="16.5" hidden="false" customHeight="true" outlineLevel="0" collapsed="false">
      <c r="A34" s="99" t="s">
        <v>175</v>
      </c>
      <c r="B34" s="100" t="s">
        <v>176</v>
      </c>
      <c r="C34" s="101" t="n">
        <v>480000</v>
      </c>
      <c r="D34" s="101" t="n">
        <v>0</v>
      </c>
      <c r="E34" s="101" t="n">
        <v>0</v>
      </c>
      <c r="F34" s="102" t="n">
        <f aca="false">C34-E34</f>
        <v>480000</v>
      </c>
      <c r="G34" s="103" t="n">
        <f aca="false">IFERROR(C34/P1_INPUT!B16,0)</f>
        <v>1.00909191818283</v>
      </c>
      <c r="H34" s="103" t="n">
        <f aca="false">IFERROR(E34/P1_INPUT!B16,0)</f>
        <v>0</v>
      </c>
      <c r="I34" s="104" t="s">
        <v>177</v>
      </c>
    </row>
    <row r="35" customFormat="false" ht="16.5" hidden="false" customHeight="true" outlineLevel="0" collapsed="false">
      <c r="A35" s="99" t="s">
        <v>178</v>
      </c>
      <c r="B35" s="100" t="s">
        <v>179</v>
      </c>
      <c r="C35" s="101" t="n">
        <v>1000000</v>
      </c>
      <c r="D35" s="101" t="n">
        <v>0</v>
      </c>
      <c r="E35" s="101" t="n">
        <v>0</v>
      </c>
      <c r="F35" s="102" t="n">
        <f aca="false">C35-E35</f>
        <v>1000000</v>
      </c>
      <c r="G35" s="103" t="n">
        <f aca="false">IFERROR(C35/P1_INPUT!B16,0)</f>
        <v>2.10227482954756</v>
      </c>
      <c r="H35" s="103" t="n">
        <f aca="false">IFERROR(E35/P1_INPUT!B16,0)</f>
        <v>0</v>
      </c>
      <c r="I35" s="104" t="s">
        <v>180</v>
      </c>
    </row>
    <row r="36" customFormat="false" ht="16.5" hidden="false" customHeight="true" outlineLevel="0" collapsed="false">
      <c r="A36" s="99" t="s">
        <v>181</v>
      </c>
      <c r="B36" s="100" t="s">
        <v>151</v>
      </c>
      <c r="C36" s="102" t="n">
        <f aca="false">SUM(C28:C35)*0.05</f>
        <v>285000</v>
      </c>
      <c r="D36" s="101" t="n">
        <v>0</v>
      </c>
      <c r="E36" s="101" t="n">
        <v>0</v>
      </c>
      <c r="F36" s="102" t="n">
        <f aca="false">C36-E36</f>
        <v>285000</v>
      </c>
      <c r="G36" s="103" t="n">
        <f aca="false">IFERROR(C36/P1_INPUT!B16,0)</f>
        <v>0.599148326421054</v>
      </c>
      <c r="H36" s="103" t="n">
        <f aca="false">IFERROR(E36/P1_INPUT!B16,0)</f>
        <v>0</v>
      </c>
      <c r="I36" s="104"/>
    </row>
    <row r="37" customFormat="false" ht="19.5" hidden="false" customHeight="true" outlineLevel="0" collapsed="false">
      <c r="A37" s="97"/>
      <c r="B37" s="96" t="s">
        <v>182</v>
      </c>
      <c r="C37" s="105" t="n">
        <f aca="false">SUM(C28:C36)</f>
        <v>5985000</v>
      </c>
      <c r="D37" s="105" t="n">
        <f aca="false">SUM(D28:D36)</f>
        <v>0</v>
      </c>
      <c r="E37" s="105" t="n">
        <f aca="false">SUM(E28:E36)</f>
        <v>0</v>
      </c>
      <c r="F37" s="105" t="n">
        <f aca="false">C37-E37</f>
        <v>5985000</v>
      </c>
      <c r="G37" s="106" t="n">
        <f aca="false">IFERROR(C37/P1_INPUT!B16,0)</f>
        <v>12.5821148548421</v>
      </c>
      <c r="H37" s="106" t="n">
        <f aca="false">IFERROR(E37/P1_INPUT!B16,0)</f>
        <v>0</v>
      </c>
      <c r="I37" s="107" t="n">
        <f aca="false">IFERROR(C37/P1_INPUT!B34,0)</f>
        <v>0.0215620342041296</v>
      </c>
    </row>
    <row r="38" customFormat="false" ht="6" hidden="false" customHeight="true" outlineLevel="0" collapsed="false">
      <c r="A38" s="82"/>
      <c r="B38" s="82"/>
      <c r="C38" s="82"/>
      <c r="D38" s="82"/>
      <c r="E38" s="82"/>
      <c r="F38" s="82"/>
      <c r="G38" s="82"/>
      <c r="H38" s="82"/>
      <c r="I38" s="82"/>
    </row>
    <row r="39" customFormat="false" ht="19.5" hidden="false" customHeight="true" outlineLevel="0" collapsed="false">
      <c r="A39" s="108" t="s">
        <v>183</v>
      </c>
      <c r="B39" s="109" t="s">
        <v>184</v>
      </c>
      <c r="C39" s="109"/>
      <c r="D39" s="109"/>
      <c r="E39" s="109"/>
      <c r="F39" s="109"/>
      <c r="G39" s="110"/>
      <c r="H39" s="110"/>
      <c r="I39" s="111" t="s">
        <v>185</v>
      </c>
    </row>
    <row r="40" customFormat="false" ht="16.5" hidden="false" customHeight="true" outlineLevel="0" collapsed="false">
      <c r="A40" s="112" t="s">
        <v>186</v>
      </c>
      <c r="B40" s="113" t="s">
        <v>187</v>
      </c>
      <c r="C40" s="114" t="n">
        <f aca="false">C25*0.04</f>
        <v>1759968</v>
      </c>
      <c r="D40" s="115" t="n">
        <v>0</v>
      </c>
      <c r="E40" s="115" t="n">
        <v>0</v>
      </c>
      <c r="F40" s="114" t="n">
        <f aca="false">C40-E40</f>
        <v>1759968</v>
      </c>
      <c r="G40" s="116" t="n">
        <f aca="false">IFERROR(C40/P1_INPUT!B16,0)</f>
        <v>3.69993642720915</v>
      </c>
      <c r="H40" s="116" t="n">
        <f aca="false">IFERROR(E40/P1_INPUT!B16,0)</f>
        <v>0</v>
      </c>
      <c r="I40" s="117" t="s">
        <v>188</v>
      </c>
    </row>
    <row r="41" customFormat="false" ht="16.5" hidden="false" customHeight="true" outlineLevel="0" collapsed="false">
      <c r="A41" s="112" t="s">
        <v>189</v>
      </c>
      <c r="B41" s="113" t="s">
        <v>190</v>
      </c>
      <c r="C41" s="114" t="n">
        <f aca="false">C17*0.015</f>
        <v>228000</v>
      </c>
      <c r="D41" s="115" t="n">
        <v>0</v>
      </c>
      <c r="E41" s="115" t="n">
        <v>0</v>
      </c>
      <c r="F41" s="114" t="n">
        <f aca="false">C41-E41</f>
        <v>228000</v>
      </c>
      <c r="G41" s="116" t="n">
        <f aca="false">IFERROR(C41/P1_INPUT!B16,0)</f>
        <v>0.479318661136843</v>
      </c>
      <c r="H41" s="116" t="n">
        <f aca="false">IFERROR(E41/P1_INPUT!B16,0)</f>
        <v>0</v>
      </c>
      <c r="I41" s="117" t="s">
        <v>191</v>
      </c>
    </row>
    <row r="42" customFormat="false" ht="16.5" hidden="false" customHeight="true" outlineLevel="0" collapsed="false">
      <c r="A42" s="112" t="s">
        <v>192</v>
      </c>
      <c r="B42" s="113" t="s">
        <v>193</v>
      </c>
      <c r="C42" s="114" t="n">
        <f aca="false">(C19+C20)*0.015</f>
        <v>99000</v>
      </c>
      <c r="D42" s="115" t="n">
        <v>0</v>
      </c>
      <c r="E42" s="115" t="n">
        <v>0</v>
      </c>
      <c r="F42" s="114" t="n">
        <f aca="false">C42-E42</f>
        <v>99000</v>
      </c>
      <c r="G42" s="116" t="n">
        <f aca="false">IFERROR(C42/P1_INPUT!B16,0)</f>
        <v>0.208125208125208</v>
      </c>
      <c r="H42" s="116" t="n">
        <f aca="false">IFERROR(E42/P1_INPUT!B16,0)</f>
        <v>0</v>
      </c>
      <c r="I42" s="117" t="s">
        <v>194</v>
      </c>
    </row>
    <row r="43" customFormat="false" ht="16.5" hidden="false" customHeight="true" outlineLevel="0" collapsed="false">
      <c r="A43" s="112" t="s">
        <v>195</v>
      </c>
      <c r="B43" s="113" t="s">
        <v>196</v>
      </c>
      <c r="C43" s="114" t="n">
        <f aca="false">C25*0.01</f>
        <v>439992</v>
      </c>
      <c r="D43" s="115" t="n">
        <v>0</v>
      </c>
      <c r="E43" s="115" t="n">
        <v>0</v>
      </c>
      <c r="F43" s="114" t="n">
        <f aca="false">C43-E43</f>
        <v>439992</v>
      </c>
      <c r="G43" s="116" t="n">
        <f aca="false">IFERROR(C43/P1_INPUT!B16,0)</f>
        <v>0.924984106802289</v>
      </c>
      <c r="H43" s="116" t="n">
        <f aca="false">IFERROR(E43/P1_INPUT!B16,0)</f>
        <v>0</v>
      </c>
      <c r="I43" s="117" t="s">
        <v>197</v>
      </c>
    </row>
    <row r="44" customFormat="false" ht="16.5" hidden="false" customHeight="true" outlineLevel="0" collapsed="false">
      <c r="A44" s="112" t="s">
        <v>198</v>
      </c>
      <c r="B44" s="113" t="s">
        <v>199</v>
      </c>
      <c r="C44" s="115" t="n">
        <v>30000</v>
      </c>
      <c r="D44" s="115" t="n">
        <v>0</v>
      </c>
      <c r="E44" s="115" t="n">
        <v>0</v>
      </c>
      <c r="F44" s="114" t="n">
        <f aca="false">C44-E44</f>
        <v>30000</v>
      </c>
      <c r="G44" s="116" t="n">
        <f aca="false">IFERROR(C44/P1_INPUT!B16,0)</f>
        <v>0.0630682448864267</v>
      </c>
      <c r="H44" s="116" t="n">
        <f aca="false">IFERROR(E44/P1_INPUT!B16,0)</f>
        <v>0</v>
      </c>
      <c r="I44" s="117" t="s">
        <v>200</v>
      </c>
    </row>
    <row r="45" customFormat="false" ht="16.5" hidden="false" customHeight="true" outlineLevel="0" collapsed="false">
      <c r="A45" s="112" t="s">
        <v>201</v>
      </c>
      <c r="B45" s="113" t="s">
        <v>202</v>
      </c>
      <c r="C45" s="115" t="n">
        <v>60000</v>
      </c>
      <c r="D45" s="115" t="n">
        <v>0</v>
      </c>
      <c r="E45" s="115" t="n">
        <v>0</v>
      </c>
      <c r="F45" s="114" t="n">
        <f aca="false">C45-E45</f>
        <v>60000</v>
      </c>
      <c r="G45" s="116" t="n">
        <f aca="false">IFERROR(C45/P1_INPUT!B16,0)</f>
        <v>0.126136489772853</v>
      </c>
      <c r="H45" s="116" t="n">
        <f aca="false">IFERROR(E45/P1_INPUT!B16,0)</f>
        <v>0</v>
      </c>
      <c r="I45" s="117" t="s">
        <v>203</v>
      </c>
    </row>
    <row r="46" customFormat="false" ht="16.5" hidden="false" customHeight="true" outlineLevel="0" collapsed="false">
      <c r="A46" s="112" t="s">
        <v>204</v>
      </c>
      <c r="B46" s="113" t="s">
        <v>205</v>
      </c>
      <c r="C46" s="115" t="n">
        <v>80000</v>
      </c>
      <c r="D46" s="115" t="n">
        <v>0</v>
      </c>
      <c r="E46" s="115" t="n">
        <v>0</v>
      </c>
      <c r="F46" s="114" t="n">
        <f aca="false">C46-E46</f>
        <v>80000</v>
      </c>
      <c r="G46" s="116" t="n">
        <f aca="false">IFERROR(C46/P1_INPUT!B16,0)</f>
        <v>0.168181986363805</v>
      </c>
      <c r="H46" s="116" t="n">
        <f aca="false">IFERROR(E46/P1_INPUT!B16,0)</f>
        <v>0</v>
      </c>
      <c r="I46" s="117" t="s">
        <v>206</v>
      </c>
    </row>
    <row r="47" customFormat="false" ht="16.5" hidden="false" customHeight="true" outlineLevel="0" collapsed="false">
      <c r="A47" s="112" t="s">
        <v>207</v>
      </c>
      <c r="B47" s="113" t="s">
        <v>208</v>
      </c>
      <c r="C47" s="115" t="n">
        <v>160000</v>
      </c>
      <c r="D47" s="115" t="n">
        <v>0</v>
      </c>
      <c r="E47" s="115" t="n">
        <v>0</v>
      </c>
      <c r="F47" s="114" t="n">
        <f aca="false">C47-E47</f>
        <v>160000</v>
      </c>
      <c r="G47" s="116" t="n">
        <f aca="false">IFERROR(C47/P1_INPUT!B16,0)</f>
        <v>0.336363972727609</v>
      </c>
      <c r="H47" s="116" t="n">
        <f aca="false">IFERROR(E47/P1_INPUT!B16,0)</f>
        <v>0</v>
      </c>
      <c r="I47" s="117" t="s">
        <v>209</v>
      </c>
    </row>
    <row r="48" customFormat="false" ht="19.5" hidden="false" customHeight="true" outlineLevel="0" collapsed="false">
      <c r="A48" s="110"/>
      <c r="B48" s="109" t="s">
        <v>210</v>
      </c>
      <c r="C48" s="118" t="n">
        <f aca="false">SUM(C40:C47)</f>
        <v>2856960</v>
      </c>
      <c r="D48" s="118" t="n">
        <f aca="false">SUM(D40:D47)</f>
        <v>0</v>
      </c>
      <c r="E48" s="118" t="n">
        <f aca="false">SUM(E40:E47)</f>
        <v>0</v>
      </c>
      <c r="F48" s="118" t="n">
        <f aca="false">C48-E48</f>
        <v>2856960</v>
      </c>
      <c r="G48" s="119" t="n">
        <f aca="false">IFERROR(C48/P1_INPUT!B16,0)</f>
        <v>6.00611509702419</v>
      </c>
      <c r="H48" s="119" t="n">
        <f aca="false">IFERROR(E48/P1_INPUT!B16,0)</f>
        <v>0</v>
      </c>
      <c r="I48" s="120" t="n">
        <f aca="false">IFERROR(C48/P1_INPUT!B34,0)</f>
        <v>0.0102927099815923</v>
      </c>
    </row>
    <row r="49" customFormat="false" ht="6" hidden="false" customHeight="true" outlineLevel="0" collapsed="false">
      <c r="A49" s="82"/>
      <c r="B49" s="82"/>
      <c r="C49" s="82"/>
      <c r="D49" s="82"/>
      <c r="E49" s="82"/>
      <c r="F49" s="82"/>
      <c r="G49" s="82"/>
      <c r="H49" s="82"/>
      <c r="I49" s="82"/>
    </row>
    <row r="50" customFormat="false" ht="19.5" hidden="false" customHeight="true" outlineLevel="0" collapsed="false">
      <c r="A50" s="121" t="s">
        <v>211</v>
      </c>
      <c r="B50" s="62" t="s">
        <v>212</v>
      </c>
      <c r="C50" s="62"/>
      <c r="D50" s="62"/>
      <c r="E50" s="62"/>
      <c r="F50" s="62"/>
      <c r="G50" s="122"/>
      <c r="H50" s="122"/>
      <c r="I50" s="123" t="s">
        <v>213</v>
      </c>
    </row>
    <row r="51" customFormat="false" ht="16.5" hidden="false" customHeight="true" outlineLevel="0" collapsed="false">
      <c r="A51" s="124" t="s">
        <v>214</v>
      </c>
      <c r="B51" s="125" t="s">
        <v>215</v>
      </c>
      <c r="C51" s="126" t="n">
        <v>3800000</v>
      </c>
      <c r="D51" s="126" t="n">
        <v>0</v>
      </c>
      <c r="E51" s="126" t="n">
        <v>0</v>
      </c>
      <c r="F51" s="67" t="n">
        <f aca="false">C51-E51</f>
        <v>3800000</v>
      </c>
      <c r="G51" s="127" t="n">
        <f aca="false">IFERROR(C51/P1_INPUT!B16,0)</f>
        <v>7.98864435228072</v>
      </c>
      <c r="H51" s="127" t="n">
        <f aca="false">IFERROR(E51/P1_INPUT!B16,0)</f>
        <v>0</v>
      </c>
      <c r="I51" s="66" t="s">
        <v>216</v>
      </c>
    </row>
    <row r="52" customFormat="false" ht="16.5" hidden="false" customHeight="true" outlineLevel="0" collapsed="false">
      <c r="A52" s="124" t="s">
        <v>217</v>
      </c>
      <c r="B52" s="125" t="s">
        <v>218</v>
      </c>
      <c r="C52" s="67" t="n">
        <f aca="false">C25*0.008</f>
        <v>351993.6</v>
      </c>
      <c r="D52" s="126" t="n">
        <v>0</v>
      </c>
      <c r="E52" s="126" t="n">
        <v>0</v>
      </c>
      <c r="F52" s="67" t="n">
        <f aca="false">C52-E52</f>
        <v>351993.6</v>
      </c>
      <c r="G52" s="127" t="n">
        <f aca="false">IFERROR(C52/P1_INPUT!B16,0)</f>
        <v>0.739987285441831</v>
      </c>
      <c r="H52" s="127" t="n">
        <f aca="false">IFERROR(E52/P1_INPUT!B16,0)</f>
        <v>0</v>
      </c>
      <c r="I52" s="66" t="s">
        <v>219</v>
      </c>
    </row>
    <row r="53" customFormat="false" ht="16.5" hidden="false" customHeight="true" outlineLevel="0" collapsed="false">
      <c r="A53" s="124" t="s">
        <v>220</v>
      </c>
      <c r="B53" s="125" t="s">
        <v>221</v>
      </c>
      <c r="C53" s="126" t="n">
        <v>700000</v>
      </c>
      <c r="D53" s="126" t="n">
        <v>0</v>
      </c>
      <c r="E53" s="126" t="n">
        <v>0</v>
      </c>
      <c r="F53" s="67" t="n">
        <f aca="false">C53-E53</f>
        <v>700000</v>
      </c>
      <c r="G53" s="127" t="n">
        <f aca="false">IFERROR(C53/P1_INPUT!B16,0)</f>
        <v>1.47159238068329</v>
      </c>
      <c r="H53" s="127" t="n">
        <f aca="false">IFERROR(E53/P1_INPUT!B16,0)</f>
        <v>0</v>
      </c>
      <c r="I53" s="66" t="s">
        <v>222</v>
      </c>
    </row>
    <row r="54" customFormat="false" ht="16.5" hidden="false" customHeight="true" outlineLevel="0" collapsed="false">
      <c r="A54" s="124" t="s">
        <v>223</v>
      </c>
      <c r="B54" s="125" t="s">
        <v>224</v>
      </c>
      <c r="C54" s="126" t="n">
        <v>320000</v>
      </c>
      <c r="D54" s="126" t="n">
        <v>0</v>
      </c>
      <c r="E54" s="126" t="n">
        <v>0</v>
      </c>
      <c r="F54" s="67" t="n">
        <f aca="false">C54-E54</f>
        <v>320000</v>
      </c>
      <c r="G54" s="127" t="n">
        <f aca="false">IFERROR(C54/P1_INPUT!B16,0)</f>
        <v>0.672727945455218</v>
      </c>
      <c r="H54" s="127" t="n">
        <f aca="false">IFERROR(E54/P1_INPUT!B16,0)</f>
        <v>0</v>
      </c>
      <c r="I54" s="66" t="s">
        <v>225</v>
      </c>
    </row>
    <row r="55" customFormat="false" ht="16.5" hidden="false" customHeight="true" outlineLevel="0" collapsed="false">
      <c r="A55" s="124" t="s">
        <v>226</v>
      </c>
      <c r="B55" s="125" t="s">
        <v>227</v>
      </c>
      <c r="C55" s="128" t="n">
        <f aca="false">P1_INPUT!B34*0.025</f>
        <v>6939280.338</v>
      </c>
      <c r="D55" s="126" t="n">
        <v>0</v>
      </c>
      <c r="E55" s="126" t="n">
        <v>0</v>
      </c>
      <c r="F55" s="67" t="n">
        <f aca="false">C55-E55</f>
        <v>6939280.338</v>
      </c>
      <c r="G55" s="127" t="n">
        <f aca="false">IFERROR(C55/P1_INPUT!B16,0)</f>
        <v>14.5882743897517</v>
      </c>
      <c r="H55" s="127" t="n">
        <f aca="false">IFERROR(E55/P1_INPUT!B16,0)</f>
        <v>0</v>
      </c>
      <c r="I55" s="66" t="s">
        <v>228</v>
      </c>
    </row>
    <row r="56" customFormat="false" ht="16.5" hidden="false" customHeight="true" outlineLevel="0" collapsed="false">
      <c r="A56" s="124" t="s">
        <v>229</v>
      </c>
      <c r="B56" s="125" t="s">
        <v>230</v>
      </c>
      <c r="C56" s="126" t="n">
        <v>25000</v>
      </c>
      <c r="D56" s="126" t="n">
        <v>0</v>
      </c>
      <c r="E56" s="126" t="n">
        <v>0</v>
      </c>
      <c r="F56" s="67" t="n">
        <f aca="false">C56-E56</f>
        <v>25000</v>
      </c>
      <c r="G56" s="127" t="n">
        <f aca="false">IFERROR(C56/P1_INPUT!B16,0)</f>
        <v>0.0525568707386889</v>
      </c>
      <c r="H56" s="127" t="n">
        <f aca="false">IFERROR(E56/P1_INPUT!B16,0)</f>
        <v>0</v>
      </c>
      <c r="I56" s="66" t="s">
        <v>231</v>
      </c>
    </row>
    <row r="57" customFormat="false" ht="16.5" hidden="false" customHeight="true" outlineLevel="0" collapsed="false">
      <c r="A57" s="124" t="s">
        <v>232</v>
      </c>
      <c r="B57" s="125" t="s">
        <v>233</v>
      </c>
      <c r="C57" s="126" t="n">
        <v>480000</v>
      </c>
      <c r="D57" s="126" t="n">
        <v>0</v>
      </c>
      <c r="E57" s="126" t="n">
        <v>0</v>
      </c>
      <c r="F57" s="67" t="n">
        <f aca="false">C57-E57</f>
        <v>480000</v>
      </c>
      <c r="G57" s="127" t="n">
        <f aca="false">IFERROR(C57/P1_INPUT!B16,0)</f>
        <v>1.00909191818283</v>
      </c>
      <c r="H57" s="127" t="n">
        <f aca="false">IFERROR(E57/P1_INPUT!B16,0)</f>
        <v>0</v>
      </c>
      <c r="I57" s="66" t="s">
        <v>234</v>
      </c>
    </row>
    <row r="58" customFormat="false" ht="16.5" hidden="false" customHeight="true" outlineLevel="0" collapsed="false">
      <c r="A58" s="124" t="s">
        <v>235</v>
      </c>
      <c r="B58" s="125" t="s">
        <v>236</v>
      </c>
      <c r="C58" s="67" t="n">
        <f aca="false">C25*0.006</f>
        <v>263995.2</v>
      </c>
      <c r="D58" s="126" t="n">
        <v>0</v>
      </c>
      <c r="E58" s="126" t="n">
        <v>0</v>
      </c>
      <c r="F58" s="67" t="n">
        <f aca="false">C58-E58</f>
        <v>263995.2</v>
      </c>
      <c r="G58" s="127" t="n">
        <f aca="false">IFERROR(C58/P1_INPUT!B16,0)</f>
        <v>0.554990464081373</v>
      </c>
      <c r="H58" s="127" t="n">
        <f aca="false">IFERROR(E58/P1_INPUT!B16,0)</f>
        <v>0</v>
      </c>
      <c r="I58" s="66" t="s">
        <v>237</v>
      </c>
    </row>
    <row r="59" customFormat="false" ht="19.5" hidden="false" customHeight="true" outlineLevel="0" collapsed="false">
      <c r="A59" s="122"/>
      <c r="B59" s="62" t="s">
        <v>238</v>
      </c>
      <c r="C59" s="129" t="n">
        <f aca="false">SUM(C51:C58)</f>
        <v>12880269.138</v>
      </c>
      <c r="D59" s="129" t="n">
        <f aca="false">SUM(D51:D58)</f>
        <v>0</v>
      </c>
      <c r="E59" s="129" t="n">
        <f aca="false">SUM(E51:E58)</f>
        <v>0</v>
      </c>
      <c r="F59" s="129" t="n">
        <f aca="false">C59-E59</f>
        <v>12880269.138</v>
      </c>
      <c r="G59" s="130" t="n">
        <f aca="false">IFERROR(C59/P1_INPUT!B16,0)</f>
        <v>27.0778656066156</v>
      </c>
      <c r="H59" s="130" t="n">
        <f aca="false">IFERROR(E59/P1_INPUT!B16,0)</f>
        <v>0</v>
      </c>
      <c r="I59" s="131" t="n">
        <f aca="false">IFERROR(C59/P1_INPUT!B34,0)</f>
        <v>0.0464034759752633</v>
      </c>
    </row>
    <row r="60" customFormat="false" ht="6" hidden="false" customHeight="true" outlineLevel="0" collapsed="false">
      <c r="A60" s="82"/>
      <c r="B60" s="82"/>
      <c r="C60" s="82"/>
      <c r="D60" s="82"/>
      <c r="E60" s="82"/>
      <c r="F60" s="82"/>
      <c r="G60" s="82"/>
      <c r="H60" s="82"/>
      <c r="I60" s="82"/>
    </row>
    <row r="61" customFormat="false" ht="25.5" hidden="false" customHeight="true" outlineLevel="0" collapsed="false">
      <c r="A61" s="132" t="s">
        <v>239</v>
      </c>
      <c r="B61" s="133" t="s">
        <v>240</v>
      </c>
      <c r="C61" s="41" t="n">
        <f aca="false">C12+C25+C37+C48+C59</f>
        <v>79253429.138</v>
      </c>
      <c r="D61" s="41" t="n">
        <f aca="false">D12+D25+D37+D48+D59</f>
        <v>0</v>
      </c>
      <c r="E61" s="41" t="n">
        <f aca="false">E12+E25+E37+E48+E59</f>
        <v>0</v>
      </c>
      <c r="F61" s="41" t="n">
        <f aca="false">C61-E61</f>
        <v>79253429.138</v>
      </c>
      <c r="G61" s="134" t="n">
        <f aca="false">IFERROR(C61/P1_INPUT!B16,0)</f>
        <v>166.612489232148</v>
      </c>
      <c r="H61" s="134" t="n">
        <f aca="false">IFERROR(E61/P1_INPUT!B16,0)</f>
        <v>0</v>
      </c>
      <c r="I61" s="135" t="n">
        <f aca="false">IFERROR(C61/P1_INPUT!B34,0)</f>
        <v>0.285524669986319</v>
      </c>
    </row>
    <row r="62" customFormat="false" ht="6" hidden="false" customHeight="true" outlineLevel="0" collapsed="false">
      <c r="A62" s="16"/>
      <c r="B62" s="16"/>
      <c r="C62" s="16"/>
      <c r="D62" s="16"/>
      <c r="E62" s="16"/>
      <c r="F62" s="16"/>
      <c r="G62" s="16"/>
      <c r="H62" s="16"/>
      <c r="I62" s="16"/>
    </row>
    <row r="63" customFormat="false" ht="25.5" hidden="false" customHeight="true" outlineLevel="0" collapsed="false">
      <c r="A63" s="136" t="s">
        <v>241</v>
      </c>
      <c r="B63" s="137" t="s">
        <v>242</v>
      </c>
      <c r="C63" s="138" t="n">
        <f aca="false">P1_INPUT!B34-C61</f>
        <v>198317784.382</v>
      </c>
      <c r="D63" s="73"/>
      <c r="E63" s="73"/>
      <c r="F63" s="73"/>
      <c r="G63" s="139" t="n">
        <f aca="false">IFERROR(C63/P1_INPUT!B16,0)</f>
        <v>416.918486357918</v>
      </c>
      <c r="H63" s="73"/>
      <c r="I63" s="81" t="n">
        <f aca="false">IFERROR(C63/P1_INPUT!B34,0)</f>
        <v>0.714475330013681</v>
      </c>
    </row>
  </sheetData>
  <mergeCells count="13">
    <mergeCell ref="A1:I1"/>
    <mergeCell ref="A2:I2"/>
    <mergeCell ref="B5:F5"/>
    <mergeCell ref="A13:I13"/>
    <mergeCell ref="B14:F14"/>
    <mergeCell ref="A26:I26"/>
    <mergeCell ref="B27:F27"/>
    <mergeCell ref="A38:I38"/>
    <mergeCell ref="B39:F39"/>
    <mergeCell ref="A49:I49"/>
    <mergeCell ref="B50:F50"/>
    <mergeCell ref="A60:I60"/>
    <mergeCell ref="A62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32"/>
  </cols>
  <sheetData>
    <row r="1" customFormat="false" ht="25.5" hidden="false" customHeight="true" outlineLevel="0" collapsed="false">
      <c r="A1" s="140" t="s">
        <v>243</v>
      </c>
      <c r="B1" s="140"/>
      <c r="C1" s="140"/>
      <c r="D1" s="140"/>
    </row>
    <row r="2" customFormat="false" ht="15" hidden="false" customHeight="true" outlineLevel="0" collapsed="false">
      <c r="A2" s="141" t="s">
        <v>33</v>
      </c>
      <c r="B2" s="141"/>
      <c r="C2" s="141"/>
      <c r="D2" s="141"/>
    </row>
    <row r="4" customFormat="false" ht="19.5" hidden="false" customHeight="true" outlineLevel="0" collapsed="false">
      <c r="A4" s="9" t="s">
        <v>34</v>
      </c>
      <c r="B4" s="9"/>
      <c r="C4" s="9"/>
      <c r="D4" s="9"/>
    </row>
    <row r="5" customFormat="false" ht="18" hidden="false" customHeight="true" outlineLevel="0" collapsed="false">
      <c r="A5" s="53" t="s">
        <v>35</v>
      </c>
      <c r="B5" s="54" t="s">
        <v>244</v>
      </c>
      <c r="C5" s="55"/>
      <c r="D5" s="56"/>
    </row>
    <row r="6" customFormat="false" ht="18" hidden="false" customHeight="true" outlineLevel="0" collapsed="false">
      <c r="A6" s="53" t="s">
        <v>37</v>
      </c>
      <c r="B6" s="54" t="s">
        <v>245</v>
      </c>
      <c r="C6" s="55"/>
      <c r="D6" s="56"/>
    </row>
    <row r="7" customFormat="false" ht="18" hidden="false" customHeight="true" outlineLevel="0" collapsed="false">
      <c r="A7" s="53" t="s">
        <v>39</v>
      </c>
      <c r="B7" s="54" t="s">
        <v>246</v>
      </c>
      <c r="C7" s="55"/>
      <c r="D7" s="56"/>
    </row>
    <row r="8" customFormat="false" ht="18" hidden="false" customHeight="true" outlineLevel="0" collapsed="false">
      <c r="A8" s="53" t="s">
        <v>41</v>
      </c>
      <c r="B8" s="54" t="s">
        <v>247</v>
      </c>
      <c r="C8" s="55"/>
      <c r="D8" s="56"/>
    </row>
    <row r="9" customFormat="false" ht="18" hidden="false" customHeight="true" outlineLevel="0" collapsed="false">
      <c r="A9" s="53" t="s">
        <v>43</v>
      </c>
      <c r="B9" s="54" t="n">
        <v>32</v>
      </c>
      <c r="C9" s="55" t="s">
        <v>44</v>
      </c>
      <c r="D9" s="56"/>
    </row>
    <row r="11" customFormat="false" ht="19.5" hidden="false" customHeight="true" outlineLevel="0" collapsed="false">
      <c r="A11" s="50" t="s">
        <v>45</v>
      </c>
      <c r="B11" s="50"/>
      <c r="C11" s="50"/>
      <c r="D11" s="50"/>
    </row>
    <row r="12" customFormat="false" ht="18" hidden="false" customHeight="true" outlineLevel="0" collapsed="false">
      <c r="A12" s="142" t="s">
        <v>13</v>
      </c>
      <c r="B12" s="143" t="n">
        <v>3.5</v>
      </c>
      <c r="C12" s="144" t="s">
        <v>46</v>
      </c>
      <c r="D12" s="91" t="s">
        <v>47</v>
      </c>
    </row>
    <row r="13" customFormat="false" ht="18" hidden="false" customHeight="true" outlineLevel="0" collapsed="false">
      <c r="A13" s="142" t="s">
        <v>48</v>
      </c>
      <c r="B13" s="143" t="n">
        <v>3.5</v>
      </c>
      <c r="C13" s="144"/>
      <c r="D13" s="91" t="s">
        <v>49</v>
      </c>
    </row>
    <row r="14" customFormat="false" ht="18" hidden="false" customHeight="true" outlineLevel="0" collapsed="false">
      <c r="A14" s="142" t="s">
        <v>50</v>
      </c>
      <c r="B14" s="89" t="n">
        <f aca="false">B12*43560*B13</f>
        <v>533610</v>
      </c>
      <c r="C14" s="144" t="s">
        <v>51</v>
      </c>
      <c r="D14" s="91" t="s">
        <v>52</v>
      </c>
    </row>
    <row r="15" customFormat="false" ht="18" hidden="false" customHeight="true" outlineLevel="0" collapsed="false">
      <c r="A15" s="142" t="s">
        <v>53</v>
      </c>
      <c r="B15" s="143" t="n">
        <v>0.78</v>
      </c>
      <c r="C15" s="144" t="s">
        <v>54</v>
      </c>
      <c r="D15" s="91" t="s">
        <v>55</v>
      </c>
    </row>
    <row r="16" customFormat="false" ht="18" hidden="false" customHeight="true" outlineLevel="0" collapsed="false">
      <c r="A16" s="142" t="s">
        <v>56</v>
      </c>
      <c r="B16" s="89" t="n">
        <f aca="false">B14*B15</f>
        <v>416215.8</v>
      </c>
      <c r="C16" s="144" t="s">
        <v>51</v>
      </c>
      <c r="D16" s="91" t="s">
        <v>57</v>
      </c>
    </row>
    <row r="17" customFormat="false" ht="18" hidden="false" customHeight="true" outlineLevel="0" collapsed="false">
      <c r="A17" s="142" t="s">
        <v>58</v>
      </c>
      <c r="B17" s="143" t="n">
        <v>950</v>
      </c>
      <c r="C17" s="144" t="s">
        <v>51</v>
      </c>
      <c r="D17" s="91"/>
    </row>
    <row r="18" customFormat="false" ht="18" hidden="false" customHeight="true" outlineLevel="0" collapsed="false">
      <c r="A18" s="142" t="s">
        <v>16</v>
      </c>
      <c r="B18" s="89" t="n">
        <f aca="false">ROUND(B16/B17,0)</f>
        <v>438</v>
      </c>
      <c r="C18" s="144" t="s">
        <v>59</v>
      </c>
      <c r="D18" s="91" t="s">
        <v>60</v>
      </c>
    </row>
    <row r="20" customFormat="false" ht="19.5" hidden="false" customHeight="true" outlineLevel="0" collapsed="false">
      <c r="A20" s="62" t="s">
        <v>61</v>
      </c>
      <c r="B20" s="62"/>
      <c r="C20" s="62"/>
      <c r="D20" s="62"/>
    </row>
    <row r="21" customFormat="false" ht="18" hidden="false" customHeight="true" outlineLevel="0" collapsed="false">
      <c r="A21" s="63" t="s">
        <v>62</v>
      </c>
      <c r="B21" s="64" t="n">
        <v>680</v>
      </c>
      <c r="C21" s="65" t="s">
        <v>63</v>
      </c>
      <c r="D21" s="66" t="s">
        <v>64</v>
      </c>
    </row>
    <row r="22" customFormat="false" ht="18" hidden="false" customHeight="true" outlineLevel="0" collapsed="false">
      <c r="A22" s="63" t="s">
        <v>65</v>
      </c>
      <c r="B22" s="64" t="n">
        <v>0.3</v>
      </c>
      <c r="C22" s="65" t="s">
        <v>54</v>
      </c>
      <c r="D22" s="66" t="s">
        <v>66</v>
      </c>
    </row>
    <row r="23" customFormat="false" ht="18" hidden="false" customHeight="true" outlineLevel="0" collapsed="false">
      <c r="A23" s="63" t="s">
        <v>67</v>
      </c>
      <c r="B23" s="64" t="n">
        <v>0.07</v>
      </c>
      <c r="C23" s="65" t="s">
        <v>54</v>
      </c>
      <c r="D23" s="66" t="s">
        <v>68</v>
      </c>
    </row>
    <row r="24" customFormat="false" ht="18" hidden="false" customHeight="true" outlineLevel="0" collapsed="false">
      <c r="A24" s="63" t="s">
        <v>69</v>
      </c>
      <c r="B24" s="64" t="n">
        <v>0.1</v>
      </c>
      <c r="C24" s="65" t="s">
        <v>54</v>
      </c>
      <c r="D24" s="66"/>
    </row>
    <row r="25" customFormat="false" ht="18" hidden="false" customHeight="true" outlineLevel="0" collapsed="false">
      <c r="A25" s="63" t="s">
        <v>70</v>
      </c>
      <c r="B25" s="64" t="n">
        <v>42000</v>
      </c>
      <c r="C25" s="65" t="s">
        <v>71</v>
      </c>
      <c r="D25" s="66" t="s">
        <v>72</v>
      </c>
    </row>
    <row r="26" customFormat="false" ht="18" hidden="false" customHeight="true" outlineLevel="0" collapsed="false">
      <c r="A26" s="63" t="s">
        <v>73</v>
      </c>
      <c r="B26" s="64" t="n">
        <v>60</v>
      </c>
      <c r="C26" s="65" t="s">
        <v>74</v>
      </c>
      <c r="D26" s="66"/>
    </row>
    <row r="27" customFormat="false" ht="18" hidden="false" customHeight="true" outlineLevel="0" collapsed="false">
      <c r="A27" s="63" t="s">
        <v>75</v>
      </c>
      <c r="B27" s="64" t="n">
        <v>47000</v>
      </c>
      <c r="C27" s="65" t="s">
        <v>76</v>
      </c>
      <c r="D27" s="66"/>
    </row>
    <row r="29" customFormat="false" ht="18" hidden="false" customHeight="true" outlineLevel="0" collapsed="false">
      <c r="A29" s="63" t="s">
        <v>77</v>
      </c>
      <c r="B29" s="67" t="n">
        <f aca="false">B16*B21</f>
        <v>283026744</v>
      </c>
      <c r="C29" s="65" t="s">
        <v>78</v>
      </c>
      <c r="D29" s="66" t="s">
        <v>79</v>
      </c>
    </row>
    <row r="30" customFormat="false" ht="18" hidden="false" customHeight="true" outlineLevel="0" collapsed="false">
      <c r="A30" s="63" t="s">
        <v>80</v>
      </c>
      <c r="B30" s="67" t="n">
        <f aca="false">-(B16*B22*B21*B23)</f>
        <v>-5943561.624</v>
      </c>
      <c r="C30" s="65" t="s">
        <v>78</v>
      </c>
      <c r="D30" s="66" t="s">
        <v>81</v>
      </c>
    </row>
    <row r="31" customFormat="false" ht="18" hidden="false" customHeight="true" outlineLevel="0" collapsed="false">
      <c r="A31" s="63" t="s">
        <v>82</v>
      </c>
      <c r="B31" s="67" t="n">
        <f aca="false">-(B18*B24*(B21*B17-B25))</f>
        <v>-26455200</v>
      </c>
      <c r="C31" s="65" t="s">
        <v>78</v>
      </c>
      <c r="D31" s="66" t="s">
        <v>83</v>
      </c>
    </row>
    <row r="32" customFormat="false" ht="18" hidden="false" customHeight="true" outlineLevel="0" collapsed="false">
      <c r="A32" s="63" t="s">
        <v>84</v>
      </c>
      <c r="B32" s="67" t="n">
        <f aca="false">B26*B27</f>
        <v>2820000</v>
      </c>
      <c r="C32" s="65" t="s">
        <v>78</v>
      </c>
      <c r="D32" s="66"/>
    </row>
    <row r="34" customFormat="false" ht="21.75" hidden="false" customHeight="true" outlineLevel="0" collapsed="false">
      <c r="A34" s="145" t="s">
        <v>85</v>
      </c>
      <c r="B34" s="146" t="n">
        <f aca="false">SUM(B29:B32)</f>
        <v>253447982.376</v>
      </c>
      <c r="C34" s="147" t="s">
        <v>78</v>
      </c>
      <c r="D34" s="148" t="s">
        <v>86</v>
      </c>
    </row>
  </sheetData>
  <mergeCells count="5">
    <mergeCell ref="A1:D1"/>
    <mergeCell ref="A2:D2"/>
    <mergeCell ref="A4:D4"/>
    <mergeCell ref="A11:D1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8" min="7" style="1" width="13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40" t="s">
        <v>248</v>
      </c>
      <c r="B1" s="140"/>
      <c r="C1" s="140"/>
      <c r="D1" s="140"/>
      <c r="E1" s="140"/>
      <c r="F1" s="140"/>
      <c r="G1" s="140"/>
      <c r="H1" s="140"/>
      <c r="I1" s="140"/>
    </row>
    <row r="2" customFormat="false" ht="15" hidden="false" customHeight="true" outlineLevel="0" collapsed="false">
      <c r="A2" s="141" t="s">
        <v>88</v>
      </c>
      <c r="B2" s="141"/>
      <c r="C2" s="141"/>
      <c r="D2" s="141"/>
      <c r="E2" s="141"/>
      <c r="F2" s="141"/>
      <c r="G2" s="141"/>
      <c r="H2" s="141"/>
      <c r="I2" s="141"/>
    </row>
    <row r="3" customFormat="false" ht="27.75" hidden="false" customHeight="true" outlineLevel="0" collapsed="false">
      <c r="A3" s="8" t="s">
        <v>89</v>
      </c>
      <c r="B3" s="8" t="s">
        <v>90</v>
      </c>
      <c r="C3" s="8" t="s">
        <v>91</v>
      </c>
      <c r="D3" s="8" t="s">
        <v>92</v>
      </c>
      <c r="E3" s="8" t="s">
        <v>93</v>
      </c>
      <c r="F3" s="8" t="s">
        <v>94</v>
      </c>
      <c r="G3" s="8" t="s">
        <v>95</v>
      </c>
      <c r="H3" s="8" t="s">
        <v>96</v>
      </c>
      <c r="I3" s="8" t="s">
        <v>97</v>
      </c>
    </row>
    <row r="5" customFormat="false" ht="19.5" hidden="false" customHeight="true" outlineLevel="0" collapsed="false">
      <c r="A5" s="72" t="s">
        <v>98</v>
      </c>
      <c r="B5" s="17" t="s">
        <v>99</v>
      </c>
      <c r="C5" s="17"/>
      <c r="D5" s="17"/>
      <c r="E5" s="17"/>
      <c r="F5" s="17"/>
      <c r="G5" s="73"/>
      <c r="H5" s="73"/>
      <c r="I5" s="74" t="s">
        <v>100</v>
      </c>
    </row>
    <row r="6" customFormat="false" ht="16.5" hidden="false" customHeight="true" outlineLevel="0" collapsed="false">
      <c r="A6" s="75" t="s">
        <v>101</v>
      </c>
      <c r="B6" s="76" t="s">
        <v>249</v>
      </c>
      <c r="C6" s="77" t="n">
        <v>10500000</v>
      </c>
      <c r="D6" s="77" t="n">
        <v>0</v>
      </c>
      <c r="E6" s="77" t="n">
        <v>0</v>
      </c>
      <c r="F6" s="61" t="n">
        <f aca="false">C6-E6</f>
        <v>10500000</v>
      </c>
      <c r="G6" s="78" t="n">
        <f aca="false">IFERROR(C6/P2_INPUT!B16,0)</f>
        <v>25.2272979545707</v>
      </c>
      <c r="H6" s="78" t="n">
        <f aca="false">IFERROR(E6/P2_INPUT!B16,0)</f>
        <v>0</v>
      </c>
      <c r="I6" s="60" t="s">
        <v>250</v>
      </c>
    </row>
    <row r="7" customFormat="false" ht="16.5" hidden="false" customHeight="true" outlineLevel="0" collapsed="false">
      <c r="A7" s="75" t="s">
        <v>104</v>
      </c>
      <c r="B7" s="76" t="s">
        <v>251</v>
      </c>
      <c r="C7" s="61" t="n">
        <f aca="false">C6*0.055</f>
        <v>577500</v>
      </c>
      <c r="D7" s="77" t="n">
        <v>0</v>
      </c>
      <c r="E7" s="77" t="n">
        <v>0</v>
      </c>
      <c r="F7" s="61" t="n">
        <f aca="false">C7-E7</f>
        <v>577500</v>
      </c>
      <c r="G7" s="78" t="n">
        <f aca="false">IFERROR(C7/P2_INPUT!B16,0)</f>
        <v>1.38750138750139</v>
      </c>
      <c r="H7" s="78" t="n">
        <f aca="false">IFERROR(E7/P2_INPUT!B16,0)</f>
        <v>0</v>
      </c>
      <c r="I7" s="60" t="s">
        <v>252</v>
      </c>
    </row>
    <row r="8" customFormat="false" ht="16.5" hidden="false" customHeight="true" outlineLevel="0" collapsed="false">
      <c r="A8" s="75" t="s">
        <v>107</v>
      </c>
      <c r="B8" s="76" t="s">
        <v>253</v>
      </c>
      <c r="C8" s="77" t="n">
        <v>1000000</v>
      </c>
      <c r="D8" s="77" t="n">
        <v>0</v>
      </c>
      <c r="E8" s="77" t="n">
        <v>0</v>
      </c>
      <c r="F8" s="61" t="n">
        <f aca="false">C8-E8</f>
        <v>1000000</v>
      </c>
      <c r="G8" s="78" t="n">
        <f aca="false">IFERROR(C8/P2_INPUT!B16,0)</f>
        <v>2.40259980519721</v>
      </c>
      <c r="H8" s="78" t="n">
        <f aca="false">IFERROR(E8/P2_INPUT!B16,0)</f>
        <v>0</v>
      </c>
      <c r="I8" s="60" t="s">
        <v>254</v>
      </c>
    </row>
    <row r="9" customFormat="false" ht="19.5" hidden="false" customHeight="true" outlineLevel="0" collapsed="false">
      <c r="A9" s="73"/>
      <c r="B9" s="17" t="s">
        <v>119</v>
      </c>
      <c r="C9" s="79" t="n">
        <f aca="false">SUM(C6:C8)</f>
        <v>12077500</v>
      </c>
      <c r="D9" s="79" t="n">
        <f aca="false">SUM(D6:D8)</f>
        <v>0</v>
      </c>
      <c r="E9" s="79" t="n">
        <f aca="false">SUM(E6:E8)</f>
        <v>0</v>
      </c>
      <c r="F9" s="79" t="n">
        <f aca="false">C9-E9</f>
        <v>12077500</v>
      </c>
      <c r="G9" s="80" t="n">
        <f aca="false">IFERROR(C9/P2_INPUT!B16,0)</f>
        <v>29.0173991472693</v>
      </c>
      <c r="H9" s="80" t="n">
        <f aca="false">IFERROR(E9/P2_INPUT!B16,0)</f>
        <v>0</v>
      </c>
      <c r="I9" s="81" t="n">
        <f aca="false">IFERROR(C9/P2_INPUT!B34,0)</f>
        <v>0.0476527762690277</v>
      </c>
    </row>
    <row r="10" customFormat="false" ht="6" hidden="false" customHeight="true" outlineLevel="0" collapsed="false">
      <c r="A10" s="82"/>
      <c r="B10" s="82"/>
      <c r="C10" s="82"/>
      <c r="D10" s="82"/>
      <c r="E10" s="82"/>
      <c r="F10" s="82"/>
      <c r="G10" s="82"/>
      <c r="H10" s="82"/>
      <c r="I10" s="82"/>
    </row>
    <row r="11" customFormat="false" ht="19.5" hidden="false" customHeight="true" outlineLevel="0" collapsed="false">
      <c r="A11" s="83" t="s">
        <v>120</v>
      </c>
      <c r="B11" s="50" t="s">
        <v>121</v>
      </c>
      <c r="C11" s="50"/>
      <c r="D11" s="50"/>
      <c r="E11" s="50"/>
      <c r="F11" s="50"/>
      <c r="G11" s="84"/>
      <c r="H11" s="84"/>
      <c r="I11" s="85" t="s">
        <v>122</v>
      </c>
    </row>
    <row r="12" customFormat="false" ht="16.5" hidden="false" customHeight="true" outlineLevel="0" collapsed="false">
      <c r="A12" s="86" t="s">
        <v>123</v>
      </c>
      <c r="B12" s="87" t="s">
        <v>255</v>
      </c>
      <c r="C12" s="88" t="n">
        <v>23200000</v>
      </c>
      <c r="D12" s="88" t="n">
        <v>0</v>
      </c>
      <c r="E12" s="88" t="n">
        <v>0</v>
      </c>
      <c r="F12" s="89" t="n">
        <f aca="false">C12-E12</f>
        <v>23200000</v>
      </c>
      <c r="G12" s="90" t="n">
        <f aca="false">IFERROR(C12/P2_INPUT!B16,0)</f>
        <v>55.7403154805752</v>
      </c>
      <c r="H12" s="90" t="n">
        <f aca="false">IFERROR(E12/P2_INPUT!B16,0)</f>
        <v>0</v>
      </c>
      <c r="I12" s="91" t="s">
        <v>256</v>
      </c>
    </row>
    <row r="13" customFormat="false" ht="16.5" hidden="false" customHeight="true" outlineLevel="0" collapsed="false">
      <c r="A13" s="86" t="s">
        <v>126</v>
      </c>
      <c r="B13" s="87" t="s">
        <v>257</v>
      </c>
      <c r="C13" s="88" t="n">
        <v>7175000</v>
      </c>
      <c r="D13" s="88" t="n">
        <v>0</v>
      </c>
      <c r="E13" s="88" t="n">
        <v>0</v>
      </c>
      <c r="F13" s="89" t="n">
        <f aca="false">C13-E13</f>
        <v>7175000</v>
      </c>
      <c r="G13" s="90" t="n">
        <f aca="false">IFERROR(C13/P2_INPUT!B16,0)</f>
        <v>17.23865360229</v>
      </c>
      <c r="H13" s="90" t="n">
        <f aca="false">IFERROR(E13/P2_INPUT!B16,0)</f>
        <v>0</v>
      </c>
      <c r="I13" s="91" t="s">
        <v>258</v>
      </c>
    </row>
    <row r="14" customFormat="false" ht="16.5" hidden="false" customHeight="true" outlineLevel="0" collapsed="false">
      <c r="A14" s="86" t="s">
        <v>129</v>
      </c>
      <c r="B14" s="87" t="s">
        <v>259</v>
      </c>
      <c r="C14" s="89" t="n">
        <f aca="false">SUM(C12:C13)*0.15</f>
        <v>4556250</v>
      </c>
      <c r="D14" s="88" t="n">
        <v>0</v>
      </c>
      <c r="E14" s="88" t="n">
        <v>0</v>
      </c>
      <c r="F14" s="89" t="n">
        <f aca="false">C14-E14</f>
        <v>4556250</v>
      </c>
      <c r="G14" s="90" t="n">
        <f aca="false">IFERROR(C14/P2_INPUT!B16,0)</f>
        <v>10.9468453624298</v>
      </c>
      <c r="H14" s="90" t="n">
        <f aca="false">IFERROR(E14/P2_INPUT!B16,0)</f>
        <v>0</v>
      </c>
      <c r="I14" s="91" t="s">
        <v>260</v>
      </c>
    </row>
    <row r="15" customFormat="false" ht="19.5" hidden="false" customHeight="true" outlineLevel="0" collapsed="false">
      <c r="A15" s="84"/>
      <c r="B15" s="50" t="s">
        <v>153</v>
      </c>
      <c r="C15" s="92" t="n">
        <f aca="false">SUM(C12:C14)</f>
        <v>34931250</v>
      </c>
      <c r="D15" s="92" t="n">
        <f aca="false">SUM(D12:D14)</f>
        <v>0</v>
      </c>
      <c r="E15" s="92" t="n">
        <f aca="false">SUM(E12:E14)</f>
        <v>0</v>
      </c>
      <c r="F15" s="92" t="n">
        <f aca="false">C15-E15</f>
        <v>34931250</v>
      </c>
      <c r="G15" s="93" t="n">
        <f aca="false">IFERROR(C15/P2_INPUT!B16,0)</f>
        <v>83.925814445295</v>
      </c>
      <c r="H15" s="93" t="n">
        <f aca="false">IFERROR(E15/P2_INPUT!B16,0)</f>
        <v>0</v>
      </c>
      <c r="I15" s="94" t="n">
        <f aca="false">IFERROR(C15/P2_INPUT!B34,0)</f>
        <v>0.137824139188365</v>
      </c>
    </row>
    <row r="16" customFormat="false" ht="6" hidden="false" customHeight="true" outlineLevel="0" collapsed="false">
      <c r="A16" s="82"/>
      <c r="B16" s="82"/>
      <c r="C16" s="82"/>
      <c r="D16" s="82"/>
      <c r="E16" s="82"/>
      <c r="F16" s="82"/>
      <c r="G16" s="82"/>
      <c r="H16" s="82"/>
      <c r="I16" s="82"/>
    </row>
    <row r="17" customFormat="false" ht="19.5" hidden="false" customHeight="true" outlineLevel="0" collapsed="false">
      <c r="A17" s="95" t="s">
        <v>154</v>
      </c>
      <c r="B17" s="96" t="s">
        <v>155</v>
      </c>
      <c r="C17" s="96"/>
      <c r="D17" s="96"/>
      <c r="E17" s="96"/>
      <c r="F17" s="96"/>
      <c r="G17" s="97"/>
      <c r="H17" s="97"/>
      <c r="I17" s="98" t="s">
        <v>156</v>
      </c>
    </row>
    <row r="18" customFormat="false" ht="16.5" hidden="false" customHeight="true" outlineLevel="0" collapsed="false">
      <c r="A18" s="99" t="s">
        <v>157</v>
      </c>
      <c r="B18" s="100" t="s">
        <v>261</v>
      </c>
      <c r="C18" s="101" t="n">
        <v>3650000</v>
      </c>
      <c r="D18" s="101" t="n">
        <v>0</v>
      </c>
      <c r="E18" s="101" t="n">
        <v>0</v>
      </c>
      <c r="F18" s="102" t="n">
        <f aca="false">C18-E18</f>
        <v>3650000</v>
      </c>
      <c r="G18" s="103" t="n">
        <f aca="false">IFERROR(C18/P2_INPUT!B16,0)</f>
        <v>8.76948928896981</v>
      </c>
      <c r="H18" s="103" t="n">
        <f aca="false">IFERROR(E18/P2_INPUT!B16,0)</f>
        <v>0</v>
      </c>
      <c r="I18" s="104" t="s">
        <v>262</v>
      </c>
    </row>
    <row r="19" customFormat="false" ht="16.5" hidden="false" customHeight="true" outlineLevel="0" collapsed="false">
      <c r="A19" s="99" t="s">
        <v>160</v>
      </c>
      <c r="B19" s="149" t="s">
        <v>263</v>
      </c>
      <c r="C19" s="150" t="n">
        <v>1295000</v>
      </c>
      <c r="D19" s="150" t="n">
        <v>0</v>
      </c>
      <c r="E19" s="150" t="n">
        <v>0</v>
      </c>
      <c r="F19" s="102" t="n">
        <f aca="false">C19-E19</f>
        <v>1295000</v>
      </c>
      <c r="G19" s="103" t="n">
        <f aca="false">IFERROR(C19/P2_INPUT!B16,0)</f>
        <v>3.11136674773038</v>
      </c>
      <c r="H19" s="103" t="n">
        <f aca="false">IFERROR(E19/P2_INPUT!B16,0)</f>
        <v>0</v>
      </c>
      <c r="I19" s="104" t="s">
        <v>264</v>
      </c>
    </row>
    <row r="20" customFormat="false" ht="16.5" hidden="false" customHeight="true" outlineLevel="0" collapsed="false">
      <c r="A20" s="99" t="s">
        <v>163</v>
      </c>
      <c r="B20" s="100" t="s">
        <v>151</v>
      </c>
      <c r="C20" s="102" t="n">
        <f aca="false">SUM(C18:C19)*0.05</f>
        <v>247250</v>
      </c>
      <c r="D20" s="101" t="n">
        <v>0</v>
      </c>
      <c r="E20" s="101" t="n">
        <v>0</v>
      </c>
      <c r="F20" s="102" t="n">
        <f aca="false">C20-E20</f>
        <v>247250</v>
      </c>
      <c r="G20" s="103" t="n">
        <f aca="false">IFERROR(C20/P2_INPUT!B16,0)</f>
        <v>0.59404280183501</v>
      </c>
      <c r="H20" s="103" t="n">
        <f aca="false">IFERROR(E20/P2_INPUT!B16,0)</f>
        <v>0</v>
      </c>
      <c r="I20" s="104"/>
    </row>
    <row r="21" customFormat="false" ht="19.5" hidden="false" customHeight="true" outlineLevel="0" collapsed="false">
      <c r="A21" s="97"/>
      <c r="B21" s="96" t="s">
        <v>182</v>
      </c>
      <c r="C21" s="105" t="n">
        <f aca="false">SUM(C18:C20)</f>
        <v>5192250</v>
      </c>
      <c r="D21" s="105" t="n">
        <f aca="false">SUM(D18:D20)</f>
        <v>0</v>
      </c>
      <c r="E21" s="105" t="n">
        <f aca="false">SUM(E18:E20)</f>
        <v>0</v>
      </c>
      <c r="F21" s="105" t="n">
        <f aca="false">C21-E21</f>
        <v>5192250</v>
      </c>
      <c r="G21" s="106" t="n">
        <f aca="false">IFERROR(C21/P2_INPUT!B16,0)</f>
        <v>12.4748988385352</v>
      </c>
      <c r="H21" s="106" t="n">
        <f aca="false">IFERROR(E21/P2_INPUT!B16,0)</f>
        <v>0</v>
      </c>
      <c r="I21" s="107" t="n">
        <f aca="false">IFERROR(C21/P2_INPUT!B34,0)</f>
        <v>0.0204864522941717</v>
      </c>
    </row>
    <row r="22" customFormat="false" ht="6" hidden="false" customHeight="true" outlineLevel="0" collapsed="false">
      <c r="A22" s="82"/>
      <c r="B22" s="82"/>
      <c r="C22" s="82"/>
      <c r="D22" s="82"/>
      <c r="E22" s="82"/>
      <c r="F22" s="82"/>
      <c r="G22" s="82"/>
      <c r="H22" s="82"/>
      <c r="I22" s="82"/>
    </row>
    <row r="23" customFormat="false" ht="19.5" hidden="false" customHeight="true" outlineLevel="0" collapsed="false">
      <c r="A23" s="108" t="s">
        <v>183</v>
      </c>
      <c r="B23" s="109" t="s">
        <v>184</v>
      </c>
      <c r="C23" s="109"/>
      <c r="D23" s="109"/>
      <c r="E23" s="109"/>
      <c r="F23" s="109"/>
      <c r="G23" s="110"/>
      <c r="H23" s="110"/>
      <c r="I23" s="111" t="s">
        <v>185</v>
      </c>
    </row>
    <row r="24" customFormat="false" ht="16.5" hidden="false" customHeight="true" outlineLevel="0" collapsed="false">
      <c r="A24" s="112" t="s">
        <v>186</v>
      </c>
      <c r="B24" s="113" t="s">
        <v>265</v>
      </c>
      <c r="C24" s="115" t="n">
        <v>450000</v>
      </c>
      <c r="D24" s="115" t="n">
        <v>0</v>
      </c>
      <c r="E24" s="115" t="n">
        <v>0</v>
      </c>
      <c r="F24" s="114" t="n">
        <f aca="false">C24-E24</f>
        <v>450000</v>
      </c>
      <c r="G24" s="116" t="n">
        <f aca="false">IFERROR(C24/P2_INPUT!B16,0)</f>
        <v>1.08116991233874</v>
      </c>
      <c r="H24" s="116" t="n">
        <f aca="false">IFERROR(E24/P2_INPUT!B16,0)</f>
        <v>0</v>
      </c>
      <c r="I24" s="117" t="s">
        <v>266</v>
      </c>
    </row>
    <row r="25" customFormat="false" ht="19.5" hidden="false" customHeight="true" outlineLevel="0" collapsed="false">
      <c r="A25" s="110"/>
      <c r="B25" s="109" t="s">
        <v>210</v>
      </c>
      <c r="C25" s="118" t="n">
        <f aca="false">SUM(C24:C24)</f>
        <v>450000</v>
      </c>
      <c r="D25" s="118" t="n">
        <f aca="false">SUM(D24:D24)</f>
        <v>0</v>
      </c>
      <c r="E25" s="118" t="n">
        <f aca="false">SUM(E24:E24)</f>
        <v>0</v>
      </c>
      <c r="F25" s="118" t="n">
        <f aca="false">C25-E25</f>
        <v>450000</v>
      </c>
      <c r="G25" s="119" t="n">
        <f aca="false">IFERROR(C25/P2_INPUT!B16,0)</f>
        <v>1.08116991233874</v>
      </c>
      <c r="H25" s="119" t="n">
        <f aca="false">IFERROR(E25/P2_INPUT!B16,0)</f>
        <v>0</v>
      </c>
      <c r="I25" s="120" t="n">
        <f aca="false">IFERROR(C25/P2_INPUT!B34,0)</f>
        <v>0.00177551226007555</v>
      </c>
    </row>
    <row r="26" customFormat="false" ht="6" hidden="false" customHeight="true" outlineLevel="0" collapsed="false">
      <c r="A26" s="82"/>
      <c r="B26" s="82"/>
      <c r="C26" s="82"/>
      <c r="D26" s="82"/>
      <c r="E26" s="82"/>
      <c r="F26" s="82"/>
      <c r="G26" s="82"/>
      <c r="H26" s="82"/>
      <c r="I26" s="82"/>
    </row>
    <row r="27" customFormat="false" ht="19.5" hidden="false" customHeight="true" outlineLevel="0" collapsed="false">
      <c r="A27" s="121" t="s">
        <v>211</v>
      </c>
      <c r="B27" s="62" t="s">
        <v>212</v>
      </c>
      <c r="C27" s="62"/>
      <c r="D27" s="62"/>
      <c r="E27" s="62"/>
      <c r="F27" s="62"/>
      <c r="G27" s="122"/>
      <c r="H27" s="122"/>
      <c r="I27" s="123" t="s">
        <v>213</v>
      </c>
    </row>
    <row r="28" customFormat="false" ht="16.5" hidden="false" customHeight="true" outlineLevel="0" collapsed="false">
      <c r="A28" s="124" t="s">
        <v>214</v>
      </c>
      <c r="B28" s="125" t="s">
        <v>267</v>
      </c>
      <c r="C28" s="126" t="n">
        <v>4600000</v>
      </c>
      <c r="D28" s="126" t="n">
        <v>0</v>
      </c>
      <c r="E28" s="126" t="n">
        <v>0</v>
      </c>
      <c r="F28" s="67" t="n">
        <f aca="false">C28-E28</f>
        <v>4600000</v>
      </c>
      <c r="G28" s="127" t="n">
        <f aca="false">IFERROR(C28/P2_INPUT!B16,0)</f>
        <v>11.0519591039072</v>
      </c>
      <c r="H28" s="127" t="n">
        <f aca="false">IFERROR(E28/P2_INPUT!B16,0)</f>
        <v>0</v>
      </c>
      <c r="I28" s="66" t="s">
        <v>268</v>
      </c>
    </row>
    <row r="29" customFormat="false" ht="16.5" hidden="false" customHeight="true" outlineLevel="0" collapsed="false">
      <c r="A29" s="124" t="s">
        <v>217</v>
      </c>
      <c r="B29" s="125" t="s">
        <v>269</v>
      </c>
      <c r="C29" s="128" t="n">
        <f aca="false">P2_INPUT!B34*0.025+680000</f>
        <v>7016199.5594</v>
      </c>
      <c r="D29" s="126" t="n">
        <v>0</v>
      </c>
      <c r="E29" s="126" t="n">
        <v>0</v>
      </c>
      <c r="F29" s="67" t="n">
        <f aca="false">C29-E29</f>
        <v>7016199.5594</v>
      </c>
      <c r="G29" s="127" t="n">
        <f aca="false">IFERROR(C29/P2_INPUT!B16,0)</f>
        <v>16.8571196946392</v>
      </c>
      <c r="H29" s="127" t="n">
        <f aca="false">IFERROR(E29/P2_INPUT!B16,0)</f>
        <v>0</v>
      </c>
      <c r="I29" s="66" t="s">
        <v>270</v>
      </c>
    </row>
    <row r="30" customFormat="false" ht="19.5" hidden="false" customHeight="true" outlineLevel="0" collapsed="false">
      <c r="A30" s="122"/>
      <c r="B30" s="62" t="s">
        <v>238</v>
      </c>
      <c r="C30" s="129" t="n">
        <f aca="false">SUM(C28:C29)</f>
        <v>11616199.5594</v>
      </c>
      <c r="D30" s="129" t="n">
        <f aca="false">SUM(D28:D29)</f>
        <v>0</v>
      </c>
      <c r="E30" s="129" t="n">
        <f aca="false">SUM(E28:E29)</f>
        <v>0</v>
      </c>
      <c r="F30" s="129" t="n">
        <f aca="false">C30-E30</f>
        <v>11616199.5594</v>
      </c>
      <c r="G30" s="130" t="n">
        <f aca="false">IFERROR(C30/P2_INPUT!B16,0)</f>
        <v>27.9090787985463</v>
      </c>
      <c r="H30" s="130" t="n">
        <f aca="false">IFERROR(E30/P2_INPUT!B16,0)</f>
        <v>0</v>
      </c>
      <c r="I30" s="131" t="n">
        <f aca="false">IFERROR(C30/P2_INPUT!B34,0)</f>
        <v>0.0458326771848865</v>
      </c>
    </row>
    <row r="31" customFormat="false" ht="6" hidden="false" customHeight="true" outlineLevel="0" collapsed="false">
      <c r="A31" s="82"/>
      <c r="B31" s="82"/>
      <c r="C31" s="82"/>
      <c r="D31" s="82"/>
      <c r="E31" s="82"/>
      <c r="F31" s="82"/>
      <c r="G31" s="82"/>
      <c r="H31" s="82"/>
      <c r="I31" s="82"/>
    </row>
    <row r="32" customFormat="false" ht="25.5" hidden="false" customHeight="true" outlineLevel="0" collapsed="false">
      <c r="A32" s="132" t="s">
        <v>239</v>
      </c>
      <c r="B32" s="133" t="s">
        <v>240</v>
      </c>
      <c r="C32" s="41" t="n">
        <f aca="false">C9+C15+C21+C25+C30</f>
        <v>64267199.5594</v>
      </c>
      <c r="D32" s="41" t="n">
        <f aca="false">D9+D15+D21+D25+D30</f>
        <v>0</v>
      </c>
      <c r="E32" s="41" t="n">
        <f aca="false">E9+E15+E21+E25+E30</f>
        <v>0</v>
      </c>
      <c r="F32" s="41" t="n">
        <f aca="false">C32-E32</f>
        <v>64267199.5594</v>
      </c>
      <c r="G32" s="134" t="n">
        <f aca="false">IFERROR(C32/P2_INPUT!B16,0)</f>
        <v>154.408361141985</v>
      </c>
      <c r="H32" s="134" t="n">
        <f aca="false">IFERROR(E32/P2_INPUT!B16,0)</f>
        <v>0</v>
      </c>
      <c r="I32" s="135" t="n">
        <f aca="false">IFERROR(C32/P2_INPUT!B34,0)</f>
        <v>0.253571557196526</v>
      </c>
    </row>
    <row r="33" customFormat="false" ht="6" hidden="false" customHeight="true" outlineLevel="0" collapsed="false">
      <c r="A33" s="16"/>
      <c r="B33" s="16"/>
      <c r="C33" s="16"/>
      <c r="D33" s="16"/>
      <c r="E33" s="16"/>
      <c r="F33" s="16"/>
      <c r="G33" s="16"/>
      <c r="H33" s="16"/>
      <c r="I33" s="16"/>
    </row>
    <row r="34" customFormat="false" ht="25.5" hidden="false" customHeight="true" outlineLevel="0" collapsed="false">
      <c r="A34" s="136" t="s">
        <v>241</v>
      </c>
      <c r="B34" s="137" t="s">
        <v>242</v>
      </c>
      <c r="C34" s="138" t="n">
        <f aca="false">P2_INPUT!B34-C32</f>
        <v>189180782.8166</v>
      </c>
      <c r="D34" s="73"/>
      <c r="E34" s="73"/>
      <c r="F34" s="73"/>
      <c r="G34" s="139" t="n">
        <f aca="false">IFERROR(C34/P2_INPUT!B16,0)</f>
        <v>454.525711942218</v>
      </c>
      <c r="H34" s="73"/>
      <c r="I34" s="81" t="n">
        <f aca="false">IFERROR(C34/P2_INPUT!B34,0)</f>
        <v>0.746428442803474</v>
      </c>
    </row>
  </sheetData>
  <mergeCells count="13">
    <mergeCell ref="A1:I1"/>
    <mergeCell ref="A2:I2"/>
    <mergeCell ref="B5:F5"/>
    <mergeCell ref="A10:I10"/>
    <mergeCell ref="B11:F11"/>
    <mergeCell ref="A16:I16"/>
    <mergeCell ref="B17:F17"/>
    <mergeCell ref="A22:I22"/>
    <mergeCell ref="B23:F23"/>
    <mergeCell ref="A26:I26"/>
    <mergeCell ref="B27:F27"/>
    <mergeCell ref="A31:I31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32"/>
  </cols>
  <sheetData>
    <row r="1" customFormat="false" ht="25.5" hidden="false" customHeight="true" outlineLevel="0" collapsed="false">
      <c r="A1" s="151" t="s">
        <v>271</v>
      </c>
      <c r="B1" s="151"/>
      <c r="C1" s="151"/>
      <c r="D1" s="151"/>
    </row>
    <row r="2" customFormat="false" ht="15" hidden="false" customHeight="true" outlineLevel="0" collapsed="false">
      <c r="A2" s="152" t="s">
        <v>33</v>
      </c>
      <c r="B2" s="152"/>
      <c r="C2" s="152"/>
      <c r="D2" s="152"/>
    </row>
    <row r="4" customFormat="false" ht="19.5" hidden="false" customHeight="true" outlineLevel="0" collapsed="false">
      <c r="A4" s="9" t="s">
        <v>34</v>
      </c>
      <c r="B4" s="9"/>
      <c r="C4" s="9"/>
      <c r="D4" s="9"/>
    </row>
    <row r="5" customFormat="false" ht="18" hidden="false" customHeight="true" outlineLevel="0" collapsed="false">
      <c r="A5" s="53" t="s">
        <v>35</v>
      </c>
      <c r="B5" s="54" t="s">
        <v>272</v>
      </c>
      <c r="C5" s="55"/>
      <c r="D5" s="56"/>
    </row>
    <row r="6" customFormat="false" ht="18" hidden="false" customHeight="true" outlineLevel="0" collapsed="false">
      <c r="A6" s="53" t="s">
        <v>37</v>
      </c>
      <c r="B6" s="54" t="s">
        <v>273</v>
      </c>
      <c r="C6" s="55"/>
      <c r="D6" s="56"/>
    </row>
    <row r="7" customFormat="false" ht="18" hidden="false" customHeight="true" outlineLevel="0" collapsed="false">
      <c r="A7" s="53" t="s">
        <v>39</v>
      </c>
      <c r="B7" s="54" t="s">
        <v>274</v>
      </c>
      <c r="C7" s="55"/>
      <c r="D7" s="56"/>
    </row>
    <row r="8" customFormat="false" ht="18" hidden="false" customHeight="true" outlineLevel="0" collapsed="false">
      <c r="A8" s="53" t="s">
        <v>41</v>
      </c>
      <c r="B8" s="54" t="s">
        <v>274</v>
      </c>
      <c r="C8" s="55"/>
      <c r="D8" s="56"/>
    </row>
    <row r="9" customFormat="false" ht="18" hidden="false" customHeight="true" outlineLevel="0" collapsed="false">
      <c r="A9" s="53" t="s">
        <v>43</v>
      </c>
      <c r="B9" s="54" t="n">
        <v>36</v>
      </c>
      <c r="C9" s="55" t="s">
        <v>44</v>
      </c>
      <c r="D9" s="56"/>
    </row>
    <row r="11" customFormat="false" ht="19.5" hidden="false" customHeight="true" outlineLevel="0" collapsed="false">
      <c r="A11" s="153" t="s">
        <v>45</v>
      </c>
      <c r="B11" s="153"/>
      <c r="C11" s="153"/>
      <c r="D11" s="153"/>
    </row>
    <row r="12" customFormat="false" ht="18" hidden="false" customHeight="true" outlineLevel="0" collapsed="false">
      <c r="A12" s="46" t="s">
        <v>13</v>
      </c>
      <c r="B12" s="154" t="n">
        <v>2.5</v>
      </c>
      <c r="C12" s="155" t="s">
        <v>46</v>
      </c>
      <c r="D12" s="156" t="s">
        <v>47</v>
      </c>
    </row>
    <row r="13" customFormat="false" ht="18" hidden="false" customHeight="true" outlineLevel="0" collapsed="false">
      <c r="A13" s="46" t="s">
        <v>48</v>
      </c>
      <c r="B13" s="154" t="n">
        <v>3</v>
      </c>
      <c r="C13" s="155"/>
      <c r="D13" s="156" t="s">
        <v>49</v>
      </c>
    </row>
    <row r="14" customFormat="false" ht="18" hidden="false" customHeight="true" outlineLevel="0" collapsed="false">
      <c r="A14" s="46" t="s">
        <v>50</v>
      </c>
      <c r="B14" s="157" t="n">
        <f aca="false">B12*43560*B13</f>
        <v>326700</v>
      </c>
      <c r="C14" s="155" t="s">
        <v>51</v>
      </c>
      <c r="D14" s="156" t="s">
        <v>52</v>
      </c>
    </row>
    <row r="15" customFormat="false" ht="18" hidden="false" customHeight="true" outlineLevel="0" collapsed="false">
      <c r="A15" s="46" t="s">
        <v>53</v>
      </c>
      <c r="B15" s="154" t="n">
        <v>0.75</v>
      </c>
      <c r="C15" s="155" t="s">
        <v>54</v>
      </c>
      <c r="D15" s="156" t="s">
        <v>55</v>
      </c>
    </row>
    <row r="16" customFormat="false" ht="18" hidden="false" customHeight="true" outlineLevel="0" collapsed="false">
      <c r="A16" s="46" t="s">
        <v>56</v>
      </c>
      <c r="B16" s="157" t="n">
        <f aca="false">B14*B15</f>
        <v>245025</v>
      </c>
      <c r="C16" s="155" t="s">
        <v>51</v>
      </c>
      <c r="D16" s="156" t="s">
        <v>57</v>
      </c>
    </row>
    <row r="17" customFormat="false" ht="18" hidden="false" customHeight="true" outlineLevel="0" collapsed="false">
      <c r="A17" s="46" t="s">
        <v>58</v>
      </c>
      <c r="B17" s="154" t="n">
        <v>900</v>
      </c>
      <c r="C17" s="155" t="s">
        <v>51</v>
      </c>
      <c r="D17" s="156"/>
    </row>
    <row r="18" customFormat="false" ht="18" hidden="false" customHeight="true" outlineLevel="0" collapsed="false">
      <c r="A18" s="46" t="s">
        <v>16</v>
      </c>
      <c r="B18" s="157" t="n">
        <f aca="false">ROUND(B16/B17,0)</f>
        <v>272</v>
      </c>
      <c r="C18" s="155" t="s">
        <v>59</v>
      </c>
      <c r="D18" s="156" t="s">
        <v>60</v>
      </c>
    </row>
    <row r="20" customFormat="false" ht="19.5" hidden="false" customHeight="true" outlineLevel="0" collapsed="false">
      <c r="A20" s="62" t="s">
        <v>61</v>
      </c>
      <c r="B20" s="62"/>
      <c r="C20" s="62"/>
      <c r="D20" s="62"/>
    </row>
    <row r="21" customFormat="false" ht="18" hidden="false" customHeight="true" outlineLevel="0" collapsed="false">
      <c r="A21" s="46" t="s">
        <v>275</v>
      </c>
      <c r="B21" s="154" t="n">
        <v>22000000</v>
      </c>
      <c r="C21" s="155" t="s">
        <v>276</v>
      </c>
      <c r="D21" s="156" t="s">
        <v>277</v>
      </c>
    </row>
    <row r="22" customFormat="false" ht="18" hidden="false" customHeight="true" outlineLevel="0" collapsed="false">
      <c r="A22" s="46" t="s">
        <v>278</v>
      </c>
      <c r="B22" s="157" t="n">
        <f aca="false">B12*B21</f>
        <v>55000000</v>
      </c>
      <c r="C22" s="155" t="s">
        <v>78</v>
      </c>
      <c r="D22" s="156" t="s">
        <v>279</v>
      </c>
    </row>
    <row r="23" customFormat="false" ht="18" hidden="false" customHeight="true" outlineLevel="0" collapsed="false">
      <c r="A23" s="46" t="s">
        <v>280</v>
      </c>
      <c r="B23" s="154" t="n">
        <v>3000000</v>
      </c>
      <c r="C23" s="155" t="s">
        <v>78</v>
      </c>
      <c r="D23" s="156" t="s">
        <v>281</v>
      </c>
    </row>
    <row r="24" customFormat="false" ht="18" hidden="false" customHeight="true" outlineLevel="0" collapsed="false">
      <c r="A24" s="46" t="s">
        <v>282</v>
      </c>
      <c r="B24" s="158" t="n">
        <f aca="false">B22-B23</f>
        <v>52000000</v>
      </c>
      <c r="C24" s="155" t="s">
        <v>78</v>
      </c>
      <c r="D24" s="156" t="s">
        <v>283</v>
      </c>
    </row>
  </sheetData>
  <mergeCells count="5">
    <mergeCell ref="A1:D1"/>
    <mergeCell ref="A2:D2"/>
    <mergeCell ref="A4:D4"/>
    <mergeCell ref="A11:D1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8" min="7" style="1" width="13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51" t="s">
        <v>284</v>
      </c>
      <c r="B1" s="151"/>
      <c r="C1" s="151"/>
      <c r="D1" s="151"/>
      <c r="E1" s="151"/>
      <c r="F1" s="151"/>
      <c r="G1" s="151"/>
      <c r="H1" s="151"/>
      <c r="I1" s="151"/>
    </row>
    <row r="2" customFormat="false" ht="15" hidden="false" customHeight="true" outlineLevel="0" collapsed="false">
      <c r="A2" s="152" t="s">
        <v>88</v>
      </c>
      <c r="B2" s="152"/>
      <c r="C2" s="152"/>
      <c r="D2" s="152"/>
      <c r="E2" s="152"/>
      <c r="F2" s="152"/>
      <c r="G2" s="152"/>
      <c r="H2" s="152"/>
      <c r="I2" s="152"/>
    </row>
    <row r="3" customFormat="false" ht="27.75" hidden="false" customHeight="true" outlineLevel="0" collapsed="false">
      <c r="A3" s="8" t="s">
        <v>89</v>
      </c>
      <c r="B3" s="8" t="s">
        <v>90</v>
      </c>
      <c r="C3" s="8" t="s">
        <v>91</v>
      </c>
      <c r="D3" s="8" t="s">
        <v>92</v>
      </c>
      <c r="E3" s="8" t="s">
        <v>93</v>
      </c>
      <c r="F3" s="8" t="s">
        <v>94</v>
      </c>
      <c r="G3" s="8" t="s">
        <v>95</v>
      </c>
      <c r="H3" s="8" t="s">
        <v>96</v>
      </c>
      <c r="I3" s="8" t="s">
        <v>97</v>
      </c>
    </row>
    <row r="5" customFormat="false" ht="19.5" hidden="false" customHeight="true" outlineLevel="0" collapsed="false">
      <c r="A5" s="159" t="s">
        <v>98</v>
      </c>
      <c r="B5" s="153" t="s">
        <v>285</v>
      </c>
      <c r="C5" s="153"/>
      <c r="D5" s="153"/>
      <c r="E5" s="153"/>
      <c r="F5" s="153"/>
      <c r="G5" s="160"/>
      <c r="H5" s="160"/>
      <c r="I5" s="161" t="s">
        <v>286</v>
      </c>
    </row>
    <row r="6" customFormat="false" ht="16.5" hidden="false" customHeight="true" outlineLevel="0" collapsed="false">
      <c r="A6" s="162" t="s">
        <v>101</v>
      </c>
      <c r="B6" s="163" t="s">
        <v>287</v>
      </c>
      <c r="C6" s="158" t="n">
        <v>7500000</v>
      </c>
      <c r="D6" s="158" t="n">
        <v>0</v>
      </c>
      <c r="E6" s="158" t="n">
        <v>0</v>
      </c>
      <c r="F6" s="157" t="n">
        <f aca="false">C6-E6</f>
        <v>7500000</v>
      </c>
      <c r="G6" s="164" t="n">
        <f aca="false">IFERROR(C6/P3_INPUT!B16,0)</f>
        <v>30.6091215182124</v>
      </c>
      <c r="H6" s="164" t="n">
        <f aca="false">IFERROR(E6/P3_INPUT!B16,0)</f>
        <v>0</v>
      </c>
      <c r="I6" s="156" t="s">
        <v>288</v>
      </c>
    </row>
    <row r="7" customFormat="false" ht="16.5" hidden="false" customHeight="true" outlineLevel="0" collapsed="false">
      <c r="A7" s="162" t="s">
        <v>104</v>
      </c>
      <c r="B7" s="163" t="s">
        <v>289</v>
      </c>
      <c r="C7" s="157" t="n">
        <f aca="false">C6*0.055</f>
        <v>412500</v>
      </c>
      <c r="D7" s="158" t="n">
        <v>0</v>
      </c>
      <c r="E7" s="158" t="n">
        <v>0</v>
      </c>
      <c r="F7" s="157" t="n">
        <f aca="false">C7-E7</f>
        <v>412500</v>
      </c>
      <c r="G7" s="164" t="n">
        <f aca="false">IFERROR(C7/P3_INPUT!B16,0)</f>
        <v>1.68350168350168</v>
      </c>
      <c r="H7" s="164" t="n">
        <f aca="false">IFERROR(E7/P3_INPUT!B16,0)</f>
        <v>0</v>
      </c>
      <c r="I7" s="156" t="s">
        <v>290</v>
      </c>
    </row>
    <row r="8" customFormat="false" ht="19.5" hidden="false" customHeight="true" outlineLevel="0" collapsed="false">
      <c r="A8" s="160"/>
      <c r="B8" s="153" t="s">
        <v>119</v>
      </c>
      <c r="C8" s="165" t="n">
        <f aca="false">SUM(C6:C7)</f>
        <v>7912500</v>
      </c>
      <c r="D8" s="165" t="n">
        <f aca="false">SUM(D6:D7)</f>
        <v>0</v>
      </c>
      <c r="E8" s="165" t="n">
        <f aca="false">SUM(E6:E7)</f>
        <v>0</v>
      </c>
      <c r="F8" s="165" t="n">
        <f aca="false">C8-E8</f>
        <v>7912500</v>
      </c>
      <c r="G8" s="166" t="n">
        <f aca="false">IFERROR(C8/P3_INPUT!B16,0)</f>
        <v>32.2926232017141</v>
      </c>
      <c r="H8" s="166" t="n">
        <f aca="false">IFERROR(E8/P3_INPUT!B16,0)</f>
        <v>0</v>
      </c>
      <c r="I8" s="167" t="n">
        <f aca="false">IFERROR(C8/P3_INPUT!B24,0)</f>
        <v>0.152163461538462</v>
      </c>
    </row>
    <row r="9" customFormat="false" ht="6" hidden="false" customHeight="true" outlineLevel="0" collapsed="false">
      <c r="A9" s="82"/>
      <c r="B9" s="82"/>
      <c r="C9" s="82"/>
      <c r="D9" s="82"/>
      <c r="E9" s="82"/>
      <c r="F9" s="82"/>
      <c r="G9" s="82"/>
      <c r="H9" s="82"/>
      <c r="I9" s="82"/>
    </row>
    <row r="10" customFormat="false" ht="19.5" hidden="false" customHeight="true" outlineLevel="0" collapsed="false">
      <c r="A10" s="159" t="s">
        <v>120</v>
      </c>
      <c r="B10" s="153" t="s">
        <v>291</v>
      </c>
      <c r="C10" s="153"/>
      <c r="D10" s="153"/>
      <c r="E10" s="153"/>
      <c r="F10" s="153"/>
      <c r="G10" s="160"/>
      <c r="H10" s="160"/>
      <c r="I10" s="161" t="s">
        <v>286</v>
      </c>
    </row>
    <row r="11" customFormat="false" ht="16.5" hidden="false" customHeight="true" outlineLevel="0" collapsed="false">
      <c r="A11" s="162" t="s">
        <v>123</v>
      </c>
      <c r="B11" s="163" t="s">
        <v>292</v>
      </c>
      <c r="C11" s="158" t="n">
        <v>111078000</v>
      </c>
      <c r="D11" s="158" t="n">
        <v>0</v>
      </c>
      <c r="E11" s="158" t="n">
        <v>0</v>
      </c>
      <c r="F11" s="157" t="n">
        <f aca="false">C11-E11</f>
        <v>111078000</v>
      </c>
      <c r="G11" s="164" t="n">
        <f aca="false">IFERROR(C11/P3_INPUT!B16,0)</f>
        <v>453.333333333333</v>
      </c>
      <c r="H11" s="164" t="n">
        <f aca="false">IFERROR(E11/P3_INPUT!B16,0)</f>
        <v>0</v>
      </c>
      <c r="I11" s="156" t="s">
        <v>293</v>
      </c>
    </row>
    <row r="12" customFormat="false" ht="19.5" hidden="false" customHeight="true" outlineLevel="0" collapsed="false">
      <c r="A12" s="160"/>
      <c r="B12" s="153" t="s">
        <v>153</v>
      </c>
      <c r="C12" s="165" t="n">
        <f aca="false">SUM(C11:C11)</f>
        <v>111078000</v>
      </c>
      <c r="D12" s="165" t="n">
        <f aca="false">SUM(D11:D11)</f>
        <v>0</v>
      </c>
      <c r="E12" s="165" t="n">
        <f aca="false">SUM(E11:E11)</f>
        <v>0</v>
      </c>
      <c r="F12" s="165" t="n">
        <f aca="false">C12-E12</f>
        <v>111078000</v>
      </c>
      <c r="G12" s="166" t="n">
        <f aca="false">IFERROR(C12/P3_INPUT!B16,0)</f>
        <v>453.333333333333</v>
      </c>
      <c r="H12" s="166" t="n">
        <f aca="false">IFERROR(E12/P3_INPUT!B16,0)</f>
        <v>0</v>
      </c>
      <c r="I12" s="167" t="n">
        <f aca="false">IFERROR(C12/P3_INPUT!B24,0)</f>
        <v>2.13611538461538</v>
      </c>
    </row>
    <row r="13" customFormat="false" ht="6" hidden="false" customHeight="true" outlineLevel="0" collapsed="false">
      <c r="A13" s="82"/>
      <c r="B13" s="82"/>
      <c r="C13" s="82"/>
      <c r="D13" s="82"/>
      <c r="E13" s="82"/>
      <c r="F13" s="82"/>
      <c r="G13" s="82"/>
      <c r="H13" s="82"/>
      <c r="I13" s="82"/>
    </row>
    <row r="14" customFormat="false" ht="19.5" hidden="false" customHeight="true" outlineLevel="0" collapsed="false">
      <c r="A14" s="159" t="s">
        <v>154</v>
      </c>
      <c r="B14" s="153" t="s">
        <v>294</v>
      </c>
      <c r="C14" s="153"/>
      <c r="D14" s="153"/>
      <c r="E14" s="153"/>
      <c r="F14" s="153"/>
      <c r="G14" s="160"/>
      <c r="H14" s="160"/>
      <c r="I14" s="161" t="s">
        <v>286</v>
      </c>
    </row>
    <row r="15" customFormat="false" ht="16.5" hidden="false" customHeight="true" outlineLevel="0" collapsed="false">
      <c r="A15" s="162" t="s">
        <v>157</v>
      </c>
      <c r="B15" s="163" t="s">
        <v>295</v>
      </c>
      <c r="C15" s="157" t="n">
        <f aca="false">C12*0.2</f>
        <v>22215600</v>
      </c>
      <c r="D15" s="158" t="n">
        <v>0</v>
      </c>
      <c r="E15" s="158" t="n">
        <v>0</v>
      </c>
      <c r="F15" s="157" t="n">
        <f aca="false">C15-E15</f>
        <v>22215600</v>
      </c>
      <c r="G15" s="164" t="n">
        <f aca="false">IFERROR(C15/P3_INPUT!B16,0)</f>
        <v>90.6666666666667</v>
      </c>
      <c r="H15" s="164" t="n">
        <f aca="false">IFERROR(E15/P3_INPUT!B16,0)</f>
        <v>0</v>
      </c>
      <c r="I15" s="156" t="s">
        <v>296</v>
      </c>
    </row>
    <row r="16" customFormat="false" ht="19.5" hidden="false" customHeight="true" outlineLevel="0" collapsed="false">
      <c r="A16" s="160"/>
      <c r="B16" s="153" t="s">
        <v>182</v>
      </c>
      <c r="C16" s="165" t="n">
        <f aca="false">SUM(C15:C15)</f>
        <v>22215600</v>
      </c>
      <c r="D16" s="165" t="n">
        <f aca="false">SUM(D15:D15)</f>
        <v>0</v>
      </c>
      <c r="E16" s="165" t="n">
        <f aca="false">SUM(E15:E15)</f>
        <v>0</v>
      </c>
      <c r="F16" s="165" t="n">
        <f aca="false">C16-E16</f>
        <v>22215600</v>
      </c>
      <c r="G16" s="166" t="n">
        <f aca="false">IFERROR(C16/P3_INPUT!B16,0)</f>
        <v>90.6666666666667</v>
      </c>
      <c r="H16" s="166" t="n">
        <f aca="false">IFERROR(E16/P3_INPUT!B16,0)</f>
        <v>0</v>
      </c>
      <c r="I16" s="167" t="n">
        <f aca="false">IFERROR(C16/P3_INPUT!B24,0)</f>
        <v>0.427223076923077</v>
      </c>
    </row>
    <row r="17" customFormat="false" ht="6" hidden="false" customHeight="true" outlineLevel="0" collapsed="false">
      <c r="A17" s="82"/>
      <c r="B17" s="82"/>
      <c r="C17" s="82"/>
      <c r="D17" s="82"/>
      <c r="E17" s="82"/>
      <c r="F17" s="82"/>
      <c r="G17" s="82"/>
      <c r="H17" s="82"/>
      <c r="I17" s="82"/>
    </row>
    <row r="18" customFormat="false" ht="19.5" hidden="false" customHeight="true" outlineLevel="0" collapsed="false">
      <c r="A18" s="159" t="s">
        <v>183</v>
      </c>
      <c r="B18" s="153" t="s">
        <v>297</v>
      </c>
      <c r="C18" s="153"/>
      <c r="D18" s="153"/>
      <c r="E18" s="153"/>
      <c r="F18" s="153"/>
      <c r="G18" s="160"/>
      <c r="H18" s="160"/>
      <c r="I18" s="161" t="s">
        <v>286</v>
      </c>
    </row>
    <row r="19" customFormat="false" ht="16.5" hidden="false" customHeight="true" outlineLevel="0" collapsed="false">
      <c r="A19" s="162" t="s">
        <v>186</v>
      </c>
      <c r="B19" s="163" t="s">
        <v>298</v>
      </c>
      <c r="C19" s="157" t="n">
        <f aca="false">C12*0.06</f>
        <v>6664680</v>
      </c>
      <c r="D19" s="158" t="n">
        <v>0</v>
      </c>
      <c r="E19" s="158" t="n">
        <v>0</v>
      </c>
      <c r="F19" s="157" t="n">
        <f aca="false">C19-E19</f>
        <v>6664680</v>
      </c>
      <c r="G19" s="164" t="n">
        <f aca="false">IFERROR(C19/P3_INPUT!B16,0)</f>
        <v>27.2</v>
      </c>
      <c r="H19" s="164" t="n">
        <f aca="false">IFERROR(E19/P3_INPUT!B16,0)</f>
        <v>0</v>
      </c>
      <c r="I19" s="156" t="s">
        <v>299</v>
      </c>
    </row>
    <row r="20" customFormat="false" ht="19.5" hidden="false" customHeight="true" outlineLevel="0" collapsed="false">
      <c r="A20" s="160"/>
      <c r="B20" s="153" t="s">
        <v>210</v>
      </c>
      <c r="C20" s="165" t="n">
        <f aca="false">SUM(C19:C19)</f>
        <v>6664680</v>
      </c>
      <c r="D20" s="165" t="n">
        <f aca="false">SUM(D19:D19)</f>
        <v>0</v>
      </c>
      <c r="E20" s="165" t="n">
        <f aca="false">SUM(E19:E19)</f>
        <v>0</v>
      </c>
      <c r="F20" s="165" t="n">
        <f aca="false">C20-E20</f>
        <v>6664680</v>
      </c>
      <c r="G20" s="166" t="n">
        <f aca="false">IFERROR(C20/P3_INPUT!B16,0)</f>
        <v>27.2</v>
      </c>
      <c r="H20" s="166" t="n">
        <f aca="false">IFERROR(E20/P3_INPUT!B16,0)</f>
        <v>0</v>
      </c>
      <c r="I20" s="167" t="n">
        <f aca="false">IFERROR(C20/P3_INPUT!B24,0)</f>
        <v>0.128166923076923</v>
      </c>
    </row>
    <row r="21" customFormat="false" ht="6" hidden="false" customHeight="true" outlineLevel="0" collapsed="false">
      <c r="A21" s="82"/>
      <c r="B21" s="82"/>
      <c r="C21" s="82"/>
      <c r="D21" s="82"/>
      <c r="E21" s="82"/>
      <c r="F21" s="82"/>
      <c r="G21" s="82"/>
      <c r="H21" s="82"/>
      <c r="I21" s="82"/>
    </row>
    <row r="22" customFormat="false" ht="19.5" hidden="false" customHeight="true" outlineLevel="0" collapsed="false">
      <c r="A22" s="159" t="s">
        <v>211</v>
      </c>
      <c r="B22" s="153" t="s">
        <v>300</v>
      </c>
      <c r="C22" s="153"/>
      <c r="D22" s="153"/>
      <c r="E22" s="153"/>
      <c r="F22" s="153"/>
      <c r="G22" s="160"/>
      <c r="H22" s="160"/>
      <c r="I22" s="161" t="s">
        <v>286</v>
      </c>
    </row>
    <row r="23" customFormat="false" ht="16.5" hidden="false" customHeight="true" outlineLevel="0" collapsed="false">
      <c r="A23" s="162" t="s">
        <v>214</v>
      </c>
      <c r="B23" s="163" t="s">
        <v>301</v>
      </c>
      <c r="C23" s="168" t="n">
        <f aca="false">P3_INPUT!B24*0.08</f>
        <v>4160000</v>
      </c>
      <c r="D23" s="158" t="n">
        <v>0</v>
      </c>
      <c r="E23" s="158" t="n">
        <v>0</v>
      </c>
      <c r="F23" s="157" t="n">
        <f aca="false">C23-E23</f>
        <v>4160000</v>
      </c>
      <c r="G23" s="164" t="n">
        <f aca="false">IFERROR(C23/P3_INPUT!B16,0)</f>
        <v>16.9778594021018</v>
      </c>
      <c r="H23" s="164" t="n">
        <f aca="false">IFERROR(E23/P3_INPUT!B16,0)</f>
        <v>0</v>
      </c>
      <c r="I23" s="156" t="s">
        <v>302</v>
      </c>
    </row>
    <row r="24" customFormat="false" ht="19.5" hidden="false" customHeight="true" outlineLevel="0" collapsed="false">
      <c r="A24" s="160"/>
      <c r="B24" s="153" t="s">
        <v>238</v>
      </c>
      <c r="C24" s="165" t="n">
        <f aca="false">SUM(C23:C23)</f>
        <v>4160000</v>
      </c>
      <c r="D24" s="165" t="n">
        <f aca="false">SUM(D23:D23)</f>
        <v>0</v>
      </c>
      <c r="E24" s="165" t="n">
        <f aca="false">SUM(E23:E23)</f>
        <v>0</v>
      </c>
      <c r="F24" s="165" t="n">
        <f aca="false">C24-E24</f>
        <v>4160000</v>
      </c>
      <c r="G24" s="166" t="n">
        <f aca="false">IFERROR(C24/P3_INPUT!B16,0)</f>
        <v>16.9778594021018</v>
      </c>
      <c r="H24" s="166" t="n">
        <f aca="false">IFERROR(E24/P3_INPUT!B16,0)</f>
        <v>0</v>
      </c>
      <c r="I24" s="167" t="n">
        <f aca="false">IFERROR(C24/P3_INPUT!B24,0)</f>
        <v>0.08</v>
      </c>
    </row>
    <row r="25" customFormat="false" ht="6" hidden="false" customHeight="true" outlineLevel="0" collapsed="false">
      <c r="A25" s="82"/>
      <c r="B25" s="82"/>
      <c r="C25" s="82"/>
      <c r="D25" s="82"/>
      <c r="E25" s="82"/>
      <c r="F25" s="82"/>
      <c r="G25" s="82"/>
      <c r="H25" s="82"/>
      <c r="I25" s="82"/>
    </row>
    <row r="26" customFormat="false" ht="25.5" hidden="false" customHeight="true" outlineLevel="0" collapsed="false">
      <c r="A26" s="169" t="s">
        <v>239</v>
      </c>
      <c r="B26" s="170" t="s">
        <v>303</v>
      </c>
      <c r="C26" s="171" t="n">
        <f aca="false">C8+C12+C16+C20+C24</f>
        <v>152030780</v>
      </c>
      <c r="D26" s="160"/>
      <c r="E26" s="160"/>
      <c r="F26" s="160"/>
      <c r="G26" s="172" t="n">
        <f aca="false">IFERROR(C26/P3_INPUT!B16,0)</f>
        <v>620.470482603816</v>
      </c>
      <c r="H26" s="160"/>
      <c r="I26" s="167" t="n">
        <f aca="false">IFERROR(C26/P3_INPUT!B24,0)</f>
        <v>2.92366884615385</v>
      </c>
    </row>
    <row r="27" customFormat="false" ht="6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</row>
    <row r="28" customFormat="false" ht="25.5" hidden="false" customHeight="true" outlineLevel="0" collapsed="false">
      <c r="A28" s="169" t="s">
        <v>241</v>
      </c>
      <c r="B28" s="170" t="s">
        <v>304</v>
      </c>
      <c r="C28" s="173" t="n">
        <f aca="false">P3_INPUT!B24-C26</f>
        <v>-100030780</v>
      </c>
      <c r="D28" s="160"/>
      <c r="E28" s="160"/>
      <c r="F28" s="160"/>
      <c r="G28" s="160"/>
      <c r="H28" s="160"/>
      <c r="I28" s="167" t="n">
        <f aca="false">IFERROR(C28/P3_INPUT!B24,0)</f>
        <v>-1.92366884615385</v>
      </c>
    </row>
  </sheetData>
  <mergeCells count="13">
    <mergeCell ref="A1:I1"/>
    <mergeCell ref="A2:I2"/>
    <mergeCell ref="B5:F5"/>
    <mergeCell ref="A9:I9"/>
    <mergeCell ref="B10:F10"/>
    <mergeCell ref="A13:I13"/>
    <mergeCell ref="B14:F14"/>
    <mergeCell ref="A17:I17"/>
    <mergeCell ref="B18:F18"/>
    <mergeCell ref="A21:I21"/>
    <mergeCell ref="B22:F22"/>
    <mergeCell ref="A25:I25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2026-06-12T04:33:46Z</dcterms:created>
  <dc:creator>openpyxl</dc:creator>
  <dc:description/>
  <dc:language>en-US</dc:language>
  <cp:lastModifiedBy/>
  <dcterms:modified xsi:type="dcterms:W3CDTF">2026-06-12T11:44:44Z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