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HASE" sheetId="2" state="visible" r:id="rId2"/>
    <sheet name="SALES" sheetId="3" state="visible" r:id="rId3"/>
    <sheet name="COST" sheetId="4" state="visible" r:id="rId4"/>
    <sheet name="CURVE" sheetId="5" state="visible" r:id="rId5"/>
    <sheet name="CASH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</font>
    <font>
      <color rgb="000000CC"/>
    </font>
    <font>
      <b val="1"/>
      <color rgb="00FFFFFF"/>
    </font>
    <font>
      <b val="1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9" fontId="2" fillId="0" borderId="0" pivotButton="0" quotePrefix="0" xfId="0"/>
    <xf numFmtId="3" fontId="1" fillId="0" borderId="0" pivotButton="0" quotePrefix="0" xfId="0"/>
    <xf numFmtId="3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1" fillId="3" borderId="0" pivotButton="0" quotePrefix="0" xfId="0"/>
    <xf numFmtId="3" fontId="1" fillId="3" borderId="0" pivotButton="0" quotePrefix="0" xfId="0"/>
    <xf numFmtId="164" fontId="1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_META" displayName="tbl_META" ref="A1:G2" headerRowCount="1">
  <autoFilter ref="A1:G2"/>
  <tableColumns count="7">
    <tableColumn id="1" name="project_code"/>
    <tableColumn id="2" name="version_code"/>
    <tableColumn id="3" name="scenario_code"/>
    <tableColumn id="4" name="version_date"/>
    <tableColumn id="5" name="status"/>
    <tableColumn id="6" name="currency"/>
    <tableColumn id="7" name="wacc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bl_PHASE" displayName="tbl_PHASE" ref="A1:K2" headerRowCount="1">
  <autoFilter ref="A1:K2"/>
  <tableColumns count="11">
    <tableColumn id="1" name="code"/>
    <tableColumn id="2" name="phase_name"/>
    <tableColumn id="3" name="product_type"/>
    <tableColumn id="4" name="nda_acre"/>
    <tableColumn id="5" name="plot_ratio"/>
    <tableColumn id="6" name="gfa"/>
    <tableColumn id="7" name="efficiency"/>
    <tableColumn id="8" name="nfa"/>
    <tableColumn id="9" name="avg_unit_size"/>
    <tableColumn id="10" name="units"/>
    <tableColumn id="11" name="construction_months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tbl_SALES" displayName="tbl_SALES" ref="A1:F5" headerRowCount="1">
  <autoFilter ref="A1:F5"/>
  <tableColumns count="6">
    <tableColumn id="1" name="code"/>
    <tableColumn id="2" name="line_name"/>
    <tableColumn id="3" name="basis"/>
    <tableColumn id="4" name="qty"/>
    <tableColumn id="5" name="rate"/>
    <tableColumn id="6" name="amount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tbl_COST" displayName="tbl_COST" ref="A1:J42" headerRowCount="1">
  <autoFilter ref="A1:J42"/>
  <tableColumns count="10">
    <tableColumn id="1" name="code"/>
    <tableColumn id="2" name="pillar"/>
    <tableColumn id="3" name="category"/>
    <tableColumn id="4" name="report_no"/>
    <tableColumn id="5" name="item_name"/>
    <tableColumn id="6" name="budget"/>
    <tableColumn id="7" name="committed"/>
    <tableColumn id="8" name="actual"/>
    <tableColumn id="9" name="variance"/>
    <tableColumn id="10" name="note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tbl_CURVE" displayName="tbl_CURVE" ref="A1:H5" headerRowCount="1">
  <autoFilter ref="A1:H5"/>
  <tableColumns count="8">
    <tableColumn id="1" name="code"/>
    <tableColumn id="2" name="curve_type"/>
    <tableColumn id="3" name="Y0"/>
    <tableColumn id="4" name="Y1"/>
    <tableColumn id="5" name="Y2"/>
    <tableColumn id="6" name="Y3"/>
    <tableColumn id="7" name="Y4"/>
    <tableColumn id="8" name="sum_check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0" customWidth="1" min="5" max="5"/>
    <col width="9" customWidth="1" min="6" max="6"/>
    <col width="8" customWidth="1" min="7" max="7"/>
  </cols>
  <sheetData>
    <row r="1">
      <c r="A1" s="1" t="inlineStr">
        <is>
          <t>project_code</t>
        </is>
      </c>
      <c r="B1" s="1" t="inlineStr">
        <is>
          <t>version_code</t>
        </is>
      </c>
      <c r="C1" s="1" t="inlineStr">
        <is>
          <t>scenario_code</t>
        </is>
      </c>
      <c r="D1" s="1" t="inlineStr">
        <is>
          <t>version_date</t>
        </is>
      </c>
      <c r="E1" s="1" t="inlineStr">
        <is>
          <t>status</t>
        </is>
      </c>
      <c r="F1" s="1" t="inlineStr">
        <is>
          <t>currency</t>
        </is>
      </c>
      <c r="G1" s="1" t="inlineStr">
        <is>
          <t>wacc</t>
        </is>
      </c>
    </row>
    <row r="2">
      <c r="A2" t="inlineStr">
        <is>
          <t>NCT.DEMO</t>
        </is>
      </c>
      <c r="B2" s="2" t="inlineStr">
        <is>
          <t>V1</t>
        </is>
      </c>
      <c r="C2" t="inlineStr">
        <is>
          <t>BASE</t>
        </is>
      </c>
      <c r="D2" t="inlineStr">
        <is>
          <t>2026-06-16</t>
        </is>
      </c>
      <c r="E2" t="inlineStr">
        <is>
          <t>DRAFT</t>
        </is>
      </c>
      <c r="F2" t="inlineStr">
        <is>
          <t>RM</t>
        </is>
      </c>
      <c r="G2" s="3" t="n">
        <v>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0" customWidth="1" min="4" max="4"/>
    <col width="11" customWidth="1" min="5" max="5"/>
    <col width="12" customWidth="1" min="6" max="6"/>
    <col width="11" customWidth="1" min="7" max="7"/>
    <col width="12" customWidth="1" min="8" max="8"/>
    <col width="14" customWidth="1" min="9" max="9"/>
    <col width="8" customWidth="1" min="10" max="10"/>
    <col width="18" customWidth="1" min="11" max="11"/>
  </cols>
  <sheetData>
    <row r="1">
      <c r="A1" s="1" t="inlineStr">
        <is>
          <t>code</t>
        </is>
      </c>
      <c r="B1" s="1" t="inlineStr">
        <is>
          <t>phase_name</t>
        </is>
      </c>
      <c r="C1" s="1" t="inlineStr">
        <is>
          <t>product_type</t>
        </is>
      </c>
      <c r="D1" s="1" t="inlineStr">
        <is>
          <t>nda_acre</t>
        </is>
      </c>
      <c r="E1" s="1" t="inlineStr">
        <is>
          <t>plot_ratio</t>
        </is>
      </c>
      <c r="F1" s="1" t="inlineStr">
        <is>
          <t>gfa</t>
        </is>
      </c>
      <c r="G1" s="1" t="inlineStr">
        <is>
          <t>efficiency</t>
        </is>
      </c>
      <c r="H1" s="1" t="inlineStr">
        <is>
          <t>nfa</t>
        </is>
      </c>
      <c r="I1" s="1" t="inlineStr">
        <is>
          <t>avg_unit_size</t>
        </is>
      </c>
      <c r="J1" s="1" t="inlineStr">
        <is>
          <t>units</t>
        </is>
      </c>
      <c r="K1" s="1" t="inlineStr">
        <is>
          <t>construction_months</t>
        </is>
      </c>
    </row>
    <row r="2">
      <c r="A2" t="inlineStr">
        <is>
          <t>P1</t>
        </is>
      </c>
      <c r="B2" t="inlineStr">
        <is>
          <t>Phase 1 — High-rise Resi</t>
        </is>
      </c>
      <c r="C2" t="inlineStr">
        <is>
          <t>High-rise Residential</t>
        </is>
      </c>
      <c r="D2" s="2" t="n">
        <v>4</v>
      </c>
      <c r="E2" s="2" t="n">
        <v>3.5</v>
      </c>
      <c r="F2" s="4">
        <f>D2*43560*E2</f>
        <v/>
      </c>
      <c r="G2" s="5" t="n">
        <v>0.78</v>
      </c>
      <c r="H2" s="4">
        <f>F2*G2</f>
        <v/>
      </c>
      <c r="I2" s="2" t="n">
        <v>900</v>
      </c>
      <c r="J2">
        <f>ROUND(H2/I2,0)</f>
        <v/>
      </c>
      <c r="K2" s="2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12" customWidth="1" min="4" max="4"/>
    <col width="9" customWidth="1" min="5" max="5"/>
    <col width="15" customWidth="1" min="6" max="6"/>
    <col width="3" customWidth="1" min="7" max="7"/>
    <col width="11" customWidth="1" min="8" max="8"/>
    <col width="15" customWidth="1" min="9" max="9"/>
  </cols>
  <sheetData>
    <row r="1">
      <c r="A1" s="1" t="inlineStr">
        <is>
          <t>code</t>
        </is>
      </c>
      <c r="B1" s="1" t="inlineStr">
        <is>
          <t>line_name</t>
        </is>
      </c>
      <c r="C1" s="1" t="inlineStr">
        <is>
          <t>basis</t>
        </is>
      </c>
      <c r="D1" s="1" t="inlineStr">
        <is>
          <t>qty</t>
        </is>
      </c>
      <c r="E1" s="1" t="inlineStr">
        <is>
          <t>rate</t>
        </is>
      </c>
      <c r="F1" s="1" t="inlineStr">
        <is>
          <t>amount</t>
        </is>
      </c>
      <c r="H1" s="1" t="inlineStr">
        <is>
          <t>Net GDV =</t>
        </is>
      </c>
      <c r="I1" s="6">
        <f>SUM(tbl_SALES[amount])</f>
        <v/>
      </c>
    </row>
    <row r="2">
      <c r="A2" t="inlineStr">
        <is>
          <t>S.RESI</t>
        </is>
      </c>
      <c r="B2" t="inlineStr">
        <is>
          <t>Resi open market</t>
        </is>
      </c>
      <c r="C2" t="inlineStr">
        <is>
          <t>NFA x psf</t>
        </is>
      </c>
      <c r="D2" s="2" t="n">
        <v>475675.2</v>
      </c>
      <c r="E2" s="2" t="n">
        <v>650</v>
      </c>
      <c r="F2" s="7" t="n">
        <v>309188880</v>
      </c>
    </row>
    <row r="3">
      <c r="A3" t="inlineStr">
        <is>
          <t>S.BUMI</t>
        </is>
      </c>
      <c r="B3" t="inlineStr">
        <is>
          <t>Bumi discount</t>
        </is>
      </c>
      <c r="C3" t="inlineStr">
        <is>
          <t>on bumi units</t>
        </is>
      </c>
      <c r="D3" s="2" t="inlineStr"/>
      <c r="E3" s="2" t="inlineStr"/>
      <c r="F3" s="7" t="n">
        <v>-6492966.48</v>
      </c>
    </row>
    <row r="4">
      <c r="A4" t="inlineStr">
        <is>
          <t>S.AFFORD</t>
        </is>
      </c>
      <c r="B4" t="inlineStr">
        <is>
          <t>Affordable subsidy</t>
        </is>
      </c>
      <c r="C4" t="inlineStr">
        <is>
          <t>cross-subsidy</t>
        </is>
      </c>
      <c r="D4" s="2" t="inlineStr"/>
      <c r="E4" s="2" t="inlineStr"/>
      <c r="F4" s="7" t="n">
        <v>-28724700</v>
      </c>
    </row>
    <row r="5">
      <c r="A5" t="inlineStr">
        <is>
          <t>S.CARPARK</t>
        </is>
      </c>
      <c r="B5" t="inlineStr">
        <is>
          <t>Car park (extra bays)</t>
        </is>
      </c>
      <c r="C5" t="inlineStr">
        <is>
          <t>bays x price</t>
        </is>
      </c>
      <c r="D5" s="2" t="n">
        <v>80</v>
      </c>
      <c r="E5" s="2" t="n">
        <v>45000</v>
      </c>
      <c r="F5" s="7" t="n">
        <v>3600000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9" customWidth="1" min="4" max="4"/>
    <col width="28" customWidth="1" min="5" max="5"/>
    <col width="13" customWidth="1" min="6" max="6"/>
    <col width="12" customWidth="1" min="7" max="7"/>
    <col width="12" customWidth="1" min="8" max="8"/>
    <col width="12" customWidth="1" min="9" max="9"/>
    <col width="18" customWidth="1" min="10" max="10"/>
    <col width="22" customWidth="1" min="12" max="12"/>
    <col width="16" customWidth="1" min="13" max="13"/>
  </cols>
  <sheetData>
    <row r="1">
      <c r="A1" s="1" t="inlineStr">
        <is>
          <t>code</t>
        </is>
      </c>
      <c r="B1" s="1" t="inlineStr">
        <is>
          <t>pillar</t>
        </is>
      </c>
      <c r="C1" s="1" t="inlineStr">
        <is>
          <t>category</t>
        </is>
      </c>
      <c r="D1" s="1" t="inlineStr">
        <is>
          <t>report_no</t>
        </is>
      </c>
      <c r="E1" s="1" t="inlineStr">
        <is>
          <t>item_name</t>
        </is>
      </c>
      <c r="F1" s="1" t="inlineStr">
        <is>
          <t>budget</t>
        </is>
      </c>
      <c r="G1" s="1" t="inlineStr">
        <is>
          <t>committed</t>
        </is>
      </c>
      <c r="H1" s="1" t="inlineStr">
        <is>
          <t>actual</t>
        </is>
      </c>
      <c r="I1" s="1" t="inlineStr">
        <is>
          <t>variance</t>
        </is>
      </c>
      <c r="J1" s="1" t="inlineStr">
        <is>
          <t>note</t>
        </is>
      </c>
      <c r="L1" s="8" t="inlineStr">
        <is>
          <t>ROLLUP (display only — SUMIFS)</t>
        </is>
      </c>
      <c r="M1" s="9" t="n"/>
    </row>
    <row r="2">
      <c r="A2" t="inlineStr">
        <is>
          <t>L.PURCHASE</t>
        </is>
      </c>
      <c r="B2" t="inlineStr">
        <is>
          <t>P1</t>
        </is>
      </c>
      <c r="C2" t="inlineStr">
        <is>
          <t>Land</t>
        </is>
      </c>
      <c r="D2" t="inlineStr">
        <is>
          <t>1.1</t>
        </is>
      </c>
      <c r="E2" t="inlineStr">
        <is>
          <t>Land Purchase Price</t>
        </is>
      </c>
      <c r="F2" s="7" t="n">
        <v>12000000</v>
      </c>
      <c r="G2" s="7" t="n">
        <v>0</v>
      </c>
      <c r="H2" s="7" t="n">
        <v>0</v>
      </c>
      <c r="I2" s="4">
        <f>F2-H2</f>
        <v/>
      </c>
      <c r="L2" s="10" t="inlineStr">
        <is>
          <t>P1 · Land</t>
        </is>
      </c>
      <c r="M2" s="11">
        <f>SUMIFS(tbl_COST[budget],tbl_COST[pillar],"P1")</f>
        <v/>
      </c>
    </row>
    <row r="3">
      <c r="A3" t="inlineStr">
        <is>
          <t>L.STAMP</t>
        </is>
      </c>
      <c r="B3" t="inlineStr">
        <is>
          <t>P1</t>
        </is>
      </c>
      <c r="C3" t="inlineStr">
        <is>
          <t>Land</t>
        </is>
      </c>
      <c r="D3" t="inlineStr">
        <is>
          <t>1.2</t>
        </is>
      </c>
      <c r="E3" t="inlineStr">
        <is>
          <t>Stamp Duty</t>
        </is>
      </c>
      <c r="F3" s="7" t="n">
        <v>464000</v>
      </c>
      <c r="G3" s="7" t="n">
        <v>0</v>
      </c>
      <c r="H3" s="7" t="n">
        <v>0</v>
      </c>
      <c r="I3" s="4">
        <f>F3-H3</f>
        <v/>
      </c>
      <c r="L3" s="10" t="inlineStr">
        <is>
          <t>P2 · Construction</t>
        </is>
      </c>
      <c r="M3" s="11">
        <f>SUMIFS(tbl_COST[budget],tbl_COST[pillar],"P2")</f>
        <v/>
      </c>
    </row>
    <row r="4">
      <c r="A4" t="inlineStr">
        <is>
          <t>L.LEGAL</t>
        </is>
      </c>
      <c r="B4" t="inlineStr">
        <is>
          <t>P1</t>
        </is>
      </c>
      <c r="C4" t="inlineStr">
        <is>
          <t>Land</t>
        </is>
      </c>
      <c r="D4" t="inlineStr">
        <is>
          <t>1.3</t>
        </is>
      </c>
      <c r="E4" t="inlineStr">
        <is>
          <t>Legal Fees</t>
        </is>
      </c>
      <c r="F4" s="7" t="n">
        <v>120000</v>
      </c>
      <c r="G4" s="7" t="n">
        <v>0</v>
      </c>
      <c r="H4" s="7" t="n">
        <v>0</v>
      </c>
      <c r="I4" s="4">
        <f>F4-H4</f>
        <v/>
      </c>
      <c r="L4" s="10" t="inlineStr">
        <is>
          <t>P3 · Infra</t>
        </is>
      </c>
      <c r="M4" s="11">
        <f>SUMIFS(tbl_COST[budget],tbl_COST[pillar],"P3")</f>
        <v/>
      </c>
    </row>
    <row r="5">
      <c r="A5" t="inlineStr">
        <is>
          <t>L.CONV</t>
        </is>
      </c>
      <c r="B5" t="inlineStr">
        <is>
          <t>P1</t>
        </is>
      </c>
      <c r="C5" t="inlineStr">
        <is>
          <t>Land</t>
        </is>
      </c>
      <c r="D5" t="inlineStr">
        <is>
          <t>1.4</t>
        </is>
      </c>
      <c r="E5" t="inlineStr">
        <is>
          <t>Conversion Premium</t>
        </is>
      </c>
      <c r="F5" s="7" t="n">
        <v>500000</v>
      </c>
      <c r="G5" s="7" t="n">
        <v>0</v>
      </c>
      <c r="H5" s="7" t="n">
        <v>0</v>
      </c>
      <c r="I5" s="4">
        <f>F5-H5</f>
        <v/>
      </c>
      <c r="L5" s="10" t="inlineStr">
        <is>
          <t>P4 · Professional</t>
        </is>
      </c>
      <c r="M5" s="11">
        <f>SUMIFS(tbl_COST[budget],tbl_COST[pillar],"P4")</f>
        <v/>
      </c>
    </row>
    <row r="6">
      <c r="A6" t="inlineStr">
        <is>
          <t>L.HOLD</t>
        </is>
      </c>
      <c r="B6" t="inlineStr">
        <is>
          <t>P1</t>
        </is>
      </c>
      <c r="C6" t="inlineStr">
        <is>
          <t>Land</t>
        </is>
      </c>
      <c r="D6" t="inlineStr">
        <is>
          <t>1.5</t>
        </is>
      </c>
      <c r="E6" t="inlineStr">
        <is>
          <t>Holding Interest</t>
        </is>
      </c>
      <c r="F6" s="7" t="n">
        <v>400000</v>
      </c>
      <c r="G6" s="7" t="n">
        <v>0</v>
      </c>
      <c r="H6" s="7" t="n">
        <v>0</v>
      </c>
      <c r="I6" s="4">
        <f>F6-H6</f>
        <v/>
      </c>
      <c r="L6" s="10" t="inlineStr">
        <is>
          <t>P5 · Finance+Mkt</t>
        </is>
      </c>
      <c r="M6" s="11">
        <f>SUMIFS(tbl_COST[budget],tbl_COST[pillar],"P5")</f>
        <v/>
      </c>
    </row>
    <row r="7">
      <c r="A7" t="inlineStr">
        <is>
          <t>L.VAL</t>
        </is>
      </c>
      <c r="B7" t="inlineStr">
        <is>
          <t>P1</t>
        </is>
      </c>
      <c r="C7" t="inlineStr">
        <is>
          <t>Land</t>
        </is>
      </c>
      <c r="D7" t="inlineStr">
        <is>
          <t>1.6</t>
        </is>
      </c>
      <c r="E7" t="inlineStr">
        <is>
          <t>Valuation + Misc</t>
        </is>
      </c>
      <c r="F7" s="7" t="n">
        <v>48000</v>
      </c>
      <c r="G7" s="7" t="n">
        <v>0</v>
      </c>
      <c r="H7" s="7" t="n">
        <v>0</v>
      </c>
      <c r="I7" s="4">
        <f>F7-H7</f>
        <v/>
      </c>
      <c r="L7" s="10" t="inlineStr">
        <is>
          <t>GDC</t>
        </is>
      </c>
      <c r="M7" s="11">
        <f>SUM(M2:M6)</f>
        <v/>
      </c>
    </row>
    <row r="8">
      <c r="A8" t="inlineStr">
        <is>
          <t>C.PILE</t>
        </is>
      </c>
      <c r="B8" t="inlineStr">
        <is>
          <t>P2</t>
        </is>
      </c>
      <c r="C8" t="inlineStr">
        <is>
          <t>Construction</t>
        </is>
      </c>
      <c r="D8" t="inlineStr">
        <is>
          <t>2.1</t>
        </is>
      </c>
      <c r="E8" t="inlineStr">
        <is>
          <t>Piling Works</t>
        </is>
      </c>
      <c r="F8" s="7" t="n">
        <v>3200000</v>
      </c>
      <c r="G8" s="7" t="n">
        <v>0</v>
      </c>
      <c r="H8" s="7" t="n">
        <v>0</v>
      </c>
      <c r="I8" s="4">
        <f>F8-H8</f>
        <v/>
      </c>
      <c r="L8" s="10" t="inlineStr">
        <is>
          <t>Net GDV</t>
        </is>
      </c>
      <c r="M8" s="11">
        <f>SUM(tbl_SALES[amount])</f>
        <v/>
      </c>
    </row>
    <row r="9">
      <c r="A9" t="inlineStr">
        <is>
          <t>C.SUB</t>
        </is>
      </c>
      <c r="B9" t="inlineStr">
        <is>
          <t>P2</t>
        </is>
      </c>
      <c r="C9" t="inlineStr">
        <is>
          <t>Construction</t>
        </is>
      </c>
      <c r="D9" t="inlineStr">
        <is>
          <t>2.2</t>
        </is>
      </c>
      <c r="E9" t="inlineStr">
        <is>
          <t>Substructure</t>
        </is>
      </c>
      <c r="F9" s="7" t="n">
        <v>2600000</v>
      </c>
      <c r="G9" s="7" t="n">
        <v>0</v>
      </c>
      <c r="H9" s="7" t="n">
        <v>0</v>
      </c>
      <c r="I9" s="4">
        <f>F9-H9</f>
        <v/>
      </c>
      <c r="L9" s="10" t="inlineStr">
        <is>
          <t>PBT</t>
        </is>
      </c>
      <c r="M9" s="11">
        <f>M8-M7</f>
        <v/>
      </c>
    </row>
    <row r="10">
      <c r="A10" t="inlineStr">
        <is>
          <t>C.SUPER_CS</t>
        </is>
      </c>
      <c r="B10" t="inlineStr">
        <is>
          <t>P2</t>
        </is>
      </c>
      <c r="C10" t="inlineStr">
        <is>
          <t>Construction</t>
        </is>
      </c>
      <c r="D10" t="inlineStr">
        <is>
          <t>2.3</t>
        </is>
      </c>
      <c r="E10" t="inlineStr">
        <is>
          <t>Superstructure C&amp;S</t>
        </is>
      </c>
      <c r="F10" s="7" t="n">
        <v>15200000</v>
      </c>
      <c r="G10" s="7" t="n">
        <v>0</v>
      </c>
      <c r="H10" s="7" t="n">
        <v>0</v>
      </c>
      <c r="I10" s="4">
        <f>F10-H10</f>
        <v/>
      </c>
      <c r="L10" s="10" t="inlineStr">
        <is>
          <t>Margin</t>
        </is>
      </c>
      <c r="M10" s="12">
        <f>M9/M8</f>
        <v/>
      </c>
    </row>
    <row r="11">
      <c r="A11" t="inlineStr">
        <is>
          <t>C.ARCH</t>
        </is>
      </c>
      <c r="B11" t="inlineStr">
        <is>
          <t>P2</t>
        </is>
      </c>
      <c r="C11" t="inlineStr">
        <is>
          <t>Construction</t>
        </is>
      </c>
      <c r="D11" t="inlineStr">
        <is>
          <t>2.4</t>
        </is>
      </c>
      <c r="E11" t="inlineStr">
        <is>
          <t>Architectural Works</t>
        </is>
      </c>
      <c r="F11" s="7" t="n">
        <v>8800000</v>
      </c>
      <c r="G11" s="7" t="n">
        <v>0</v>
      </c>
      <c r="H11" s="7" t="n">
        <v>0</v>
      </c>
      <c r="I11" s="4">
        <f>F11-H11</f>
        <v/>
      </c>
    </row>
    <row r="12">
      <c r="A12" t="inlineStr">
        <is>
          <t>C.MEP_MECH</t>
        </is>
      </c>
      <c r="B12" t="inlineStr">
        <is>
          <t>P2</t>
        </is>
      </c>
      <c r="C12" t="inlineStr">
        <is>
          <t>Construction</t>
        </is>
      </c>
      <c r="D12" t="inlineStr">
        <is>
          <t>2.5</t>
        </is>
      </c>
      <c r="E12" t="inlineStr">
        <is>
          <t>M&amp;E Mechanical</t>
        </is>
      </c>
      <c r="F12" s="7" t="n">
        <v>3600000</v>
      </c>
      <c r="G12" s="7" t="n">
        <v>0</v>
      </c>
      <c r="H12" s="7" t="n">
        <v>0</v>
      </c>
      <c r="I12" s="4">
        <f>F12-H12</f>
        <v/>
      </c>
    </row>
    <row r="13">
      <c r="A13" t="inlineStr">
        <is>
          <t>C.MEP_ELEC</t>
        </is>
      </c>
      <c r="B13" t="inlineStr">
        <is>
          <t>P2</t>
        </is>
      </c>
      <c r="C13" t="inlineStr">
        <is>
          <t>Construction</t>
        </is>
      </c>
      <c r="D13" t="inlineStr">
        <is>
          <t>2.6</t>
        </is>
      </c>
      <c r="E13" t="inlineStr">
        <is>
          <t>M&amp;E Electrical</t>
        </is>
      </c>
      <c r="F13" s="7" t="n">
        <v>3000000</v>
      </c>
      <c r="G13" s="7" t="n">
        <v>0</v>
      </c>
      <c r="H13" s="7" t="n">
        <v>0</v>
      </c>
      <c r="I13" s="4">
        <f>F13-H13</f>
        <v/>
      </c>
    </row>
    <row r="14">
      <c r="A14" t="inlineStr">
        <is>
          <t>C.PLUMB</t>
        </is>
      </c>
      <c r="B14" t="inlineStr">
        <is>
          <t>P2</t>
        </is>
      </c>
      <c r="C14" t="inlineStr">
        <is>
          <t>Construction</t>
        </is>
      </c>
      <c r="D14" t="inlineStr">
        <is>
          <t>2.7</t>
        </is>
      </c>
      <c r="E14" t="inlineStr">
        <is>
          <t>Plumbing &amp; Sanitary</t>
        </is>
      </c>
      <c r="F14" s="7" t="n">
        <v>1600000</v>
      </c>
      <c r="G14" s="7" t="n">
        <v>0</v>
      </c>
      <c r="H14" s="7" t="n">
        <v>0</v>
      </c>
      <c r="I14" s="4">
        <f>F14-H14</f>
        <v/>
      </c>
    </row>
    <row r="15">
      <c r="A15" t="inlineStr">
        <is>
          <t>C.LANDSC</t>
        </is>
      </c>
      <c r="B15" t="inlineStr">
        <is>
          <t>P2</t>
        </is>
      </c>
      <c r="C15" t="inlineStr">
        <is>
          <t>Construction</t>
        </is>
      </c>
      <c r="D15" t="inlineStr">
        <is>
          <t>2.8</t>
        </is>
      </c>
      <c r="E15" t="inlineStr">
        <is>
          <t>Landscaping (Internal)</t>
        </is>
      </c>
      <c r="F15" s="7" t="n">
        <v>800000</v>
      </c>
      <c r="G15" s="7" t="n">
        <v>0</v>
      </c>
      <c r="H15" s="7" t="n">
        <v>0</v>
      </c>
      <c r="I15" s="4">
        <f>F15-H15</f>
        <v/>
      </c>
    </row>
    <row r="16">
      <c r="A16" t="inlineStr">
        <is>
          <t>C.PRELIM</t>
        </is>
      </c>
      <c r="B16" t="inlineStr">
        <is>
          <t>P2</t>
        </is>
      </c>
      <c r="C16" t="inlineStr">
        <is>
          <t>Construction</t>
        </is>
      </c>
      <c r="D16" t="inlineStr">
        <is>
          <t>2.9</t>
        </is>
      </c>
      <c r="E16" t="inlineStr">
        <is>
          <t>Preliminaries</t>
        </is>
      </c>
      <c r="F16" s="7" t="n">
        <v>3104000</v>
      </c>
      <c r="G16" s="7" t="n">
        <v>0</v>
      </c>
      <c r="H16" s="7" t="n">
        <v>0</v>
      </c>
      <c r="I16" s="4">
        <f>F16-H16</f>
        <v/>
      </c>
    </row>
    <row r="17">
      <c r="A17" t="inlineStr">
        <is>
          <t>C.CONT</t>
        </is>
      </c>
      <c r="B17" t="inlineStr">
        <is>
          <t>P2</t>
        </is>
      </c>
      <c r="C17" t="inlineStr">
        <is>
          <t>Construction</t>
        </is>
      </c>
      <c r="D17" t="inlineStr">
        <is>
          <t>2.10</t>
        </is>
      </c>
      <c r="E17" t="inlineStr">
        <is>
          <t>Contingency</t>
        </is>
      </c>
      <c r="F17" s="7" t="n">
        <v>2095200</v>
      </c>
      <c r="G17" s="7" t="n">
        <v>0</v>
      </c>
      <c r="H17" s="7" t="n">
        <v>0</v>
      </c>
      <c r="I17" s="4">
        <f>F17-H17</f>
        <v/>
      </c>
    </row>
    <row r="18">
      <c r="A18" t="inlineStr">
        <is>
          <t>I.ROAD_INT</t>
        </is>
      </c>
      <c r="B18" t="inlineStr">
        <is>
          <t>P3</t>
        </is>
      </c>
      <c r="C18" t="inlineStr">
        <is>
          <t>Infra</t>
        </is>
      </c>
      <c r="D18" t="inlineStr">
        <is>
          <t>3.1</t>
        </is>
      </c>
      <c r="E18" t="inlineStr">
        <is>
          <t>Internal Roads</t>
        </is>
      </c>
      <c r="F18" s="7" t="n">
        <v>1400000</v>
      </c>
      <c r="G18" s="7" t="n">
        <v>0</v>
      </c>
      <c r="H18" s="7" t="n">
        <v>0</v>
      </c>
      <c r="I18" s="4">
        <f>F18-H18</f>
        <v/>
      </c>
    </row>
    <row r="19">
      <c r="A19" t="inlineStr">
        <is>
          <t>I.ROAD_EXT</t>
        </is>
      </c>
      <c r="B19" t="inlineStr">
        <is>
          <t>P3</t>
        </is>
      </c>
      <c r="C19" t="inlineStr">
        <is>
          <t>Infra</t>
        </is>
      </c>
      <c r="D19" t="inlineStr">
        <is>
          <t>3.2</t>
        </is>
      </c>
      <c r="E19" t="inlineStr">
        <is>
          <t>External Road (JKR)</t>
        </is>
      </c>
      <c r="F19" s="7" t="n">
        <v>700000</v>
      </c>
      <c r="G19" s="7" t="n">
        <v>0</v>
      </c>
      <c r="H19" s="7" t="n">
        <v>0</v>
      </c>
      <c r="I19" s="4">
        <f>F19-H19</f>
        <v/>
      </c>
    </row>
    <row r="20">
      <c r="A20" t="inlineStr">
        <is>
          <t>I.DRAIN</t>
        </is>
      </c>
      <c r="B20" t="inlineStr">
        <is>
          <t>P3</t>
        </is>
      </c>
      <c r="C20" t="inlineStr">
        <is>
          <t>Infra</t>
        </is>
      </c>
      <c r="D20" t="inlineStr">
        <is>
          <t>3.3</t>
        </is>
      </c>
      <c r="E20" t="inlineStr">
        <is>
          <t>Drainage (JPS)</t>
        </is>
      </c>
      <c r="F20" s="7" t="n">
        <v>880000</v>
      </c>
      <c r="G20" s="7" t="n">
        <v>0</v>
      </c>
      <c r="H20" s="7" t="n">
        <v>0</v>
      </c>
      <c r="I20" s="4">
        <f>F20-H20</f>
        <v/>
      </c>
    </row>
    <row r="21">
      <c r="A21" t="inlineStr">
        <is>
          <t>I.TNB</t>
        </is>
      </c>
      <c r="B21" t="inlineStr">
        <is>
          <t>P3</t>
        </is>
      </c>
      <c r="C21" t="inlineStr">
        <is>
          <t>Infra</t>
        </is>
      </c>
      <c r="D21" t="inlineStr">
        <is>
          <t>3.4</t>
        </is>
      </c>
      <c r="E21" t="inlineStr">
        <is>
          <t>TNB Substation</t>
        </is>
      </c>
      <c r="F21" s="7" t="n">
        <v>600000</v>
      </c>
      <c r="G21" s="7" t="n">
        <v>0</v>
      </c>
      <c r="H21" s="7" t="n">
        <v>0</v>
      </c>
      <c r="I21" s="4">
        <f>F21-H21</f>
        <v/>
      </c>
    </row>
    <row r="22">
      <c r="A22" t="inlineStr">
        <is>
          <t>I.WATER</t>
        </is>
      </c>
      <c r="B22" t="inlineStr">
        <is>
          <t>P3</t>
        </is>
      </c>
      <c r="C22" t="inlineStr">
        <is>
          <t>Infra</t>
        </is>
      </c>
      <c r="D22" t="inlineStr">
        <is>
          <t>3.5</t>
        </is>
      </c>
      <c r="E22" t="inlineStr">
        <is>
          <t>Water Supply</t>
        </is>
      </c>
      <c r="F22" s="7" t="n">
        <v>360000</v>
      </c>
      <c r="G22" s="7" t="n">
        <v>0</v>
      </c>
      <c r="H22" s="7" t="n">
        <v>0</v>
      </c>
      <c r="I22" s="4">
        <f>F22-H22</f>
        <v/>
      </c>
    </row>
    <row r="23">
      <c r="A23" t="inlineStr">
        <is>
          <t>I.SEWER</t>
        </is>
      </c>
      <c r="B23" t="inlineStr">
        <is>
          <t>P3</t>
        </is>
      </c>
      <c r="C23" t="inlineStr">
        <is>
          <t>Infra</t>
        </is>
      </c>
      <c r="D23" t="inlineStr">
        <is>
          <t>3.6</t>
        </is>
      </c>
      <c r="E23" t="inlineStr">
        <is>
          <t>Sewerage (IWK)</t>
        </is>
      </c>
      <c r="F23" s="7" t="n">
        <v>280000</v>
      </c>
      <c r="G23" s="7" t="n">
        <v>0</v>
      </c>
      <c r="H23" s="7" t="n">
        <v>0</v>
      </c>
      <c r="I23" s="4">
        <f>F23-H23</f>
        <v/>
      </c>
    </row>
    <row r="24">
      <c r="A24" t="inlineStr">
        <is>
          <t>I.OPENSP</t>
        </is>
      </c>
      <c r="B24" t="inlineStr">
        <is>
          <t>P3</t>
        </is>
      </c>
      <c r="C24" t="inlineStr">
        <is>
          <t>Infra</t>
        </is>
      </c>
      <c r="D24" t="inlineStr">
        <is>
          <t>3.7</t>
        </is>
      </c>
      <c r="E24" t="inlineStr">
        <is>
          <t>Open Space + Amenities</t>
        </is>
      </c>
      <c r="F24" s="7" t="n">
        <v>480000</v>
      </c>
      <c r="G24" s="7" t="n">
        <v>0</v>
      </c>
      <c r="H24" s="7" t="n">
        <v>0</v>
      </c>
      <c r="I24" s="4">
        <f>F24-H24</f>
        <v/>
      </c>
    </row>
    <row r="25">
      <c r="A25" t="inlineStr">
        <is>
          <t>I.DEVCON</t>
        </is>
      </c>
      <c r="B25" t="inlineStr">
        <is>
          <t>P3</t>
        </is>
      </c>
      <c r="C25" t="inlineStr">
        <is>
          <t>Infra</t>
        </is>
      </c>
      <c r="D25" t="inlineStr">
        <is>
          <t>3.8</t>
        </is>
      </c>
      <c r="E25" t="inlineStr">
        <is>
          <t>Development Contribution</t>
        </is>
      </c>
      <c r="F25" s="7" t="n">
        <v>1000000</v>
      </c>
      <c r="G25" s="7" t="n">
        <v>0</v>
      </c>
      <c r="H25" s="7" t="n">
        <v>0</v>
      </c>
      <c r="I25" s="4">
        <f>F25-H25</f>
        <v/>
      </c>
    </row>
    <row r="26">
      <c r="A26" t="inlineStr">
        <is>
          <t>I.CONT</t>
        </is>
      </c>
      <c r="B26" t="inlineStr">
        <is>
          <t>P3</t>
        </is>
      </c>
      <c r="C26" t="inlineStr">
        <is>
          <t>Infra</t>
        </is>
      </c>
      <c r="D26" t="inlineStr">
        <is>
          <t>3.9</t>
        </is>
      </c>
      <c r="E26" t="inlineStr">
        <is>
          <t>Contingency</t>
        </is>
      </c>
      <c r="F26" s="7" t="n">
        <v>285000</v>
      </c>
      <c r="G26" s="7" t="n">
        <v>0</v>
      </c>
      <c r="H26" s="7" t="n">
        <v>0</v>
      </c>
      <c r="I26" s="4">
        <f>F26-H26</f>
        <v/>
      </c>
    </row>
    <row r="27">
      <c r="A27" t="inlineStr">
        <is>
          <t>P.ARCH</t>
        </is>
      </c>
      <c r="B27" t="inlineStr">
        <is>
          <t>P4</t>
        </is>
      </c>
      <c r="C27" t="inlineStr">
        <is>
          <t>Professional</t>
        </is>
      </c>
      <c r="D27" t="inlineStr">
        <is>
          <t>4.1</t>
        </is>
      </c>
      <c r="E27" t="inlineStr">
        <is>
          <t>Architect</t>
        </is>
      </c>
      <c r="F27" s="7" t="n">
        <v>1759968</v>
      </c>
      <c r="G27" s="7" t="n">
        <v>0</v>
      </c>
      <c r="H27" s="7" t="n">
        <v>0</v>
      </c>
      <c r="I27" s="4">
        <f>F27-H27</f>
        <v/>
      </c>
    </row>
    <row r="28">
      <c r="A28" t="inlineStr">
        <is>
          <t>P.STRUCT</t>
        </is>
      </c>
      <c r="B28" t="inlineStr">
        <is>
          <t>P4</t>
        </is>
      </c>
      <c r="C28" t="inlineStr">
        <is>
          <t>Professional</t>
        </is>
      </c>
      <c r="D28" t="inlineStr">
        <is>
          <t>4.2</t>
        </is>
      </c>
      <c r="E28" t="inlineStr">
        <is>
          <t>Structural Engineer</t>
        </is>
      </c>
      <c r="F28" s="7" t="n">
        <v>228000</v>
      </c>
      <c r="G28" s="7" t="n">
        <v>0</v>
      </c>
      <c r="H28" s="7" t="n">
        <v>0</v>
      </c>
      <c r="I28" s="4">
        <f>F28-H28</f>
        <v/>
      </c>
    </row>
    <row r="29">
      <c r="A29" t="inlineStr">
        <is>
          <t>P.MEP</t>
        </is>
      </c>
      <c r="B29" t="inlineStr">
        <is>
          <t>P4</t>
        </is>
      </c>
      <c r="C29" t="inlineStr">
        <is>
          <t>Professional</t>
        </is>
      </c>
      <c r="D29" t="inlineStr">
        <is>
          <t>4.3</t>
        </is>
      </c>
      <c r="E29" t="inlineStr">
        <is>
          <t>M&amp;E Engineer</t>
        </is>
      </c>
      <c r="F29" s="7" t="n">
        <v>99000</v>
      </c>
      <c r="G29" s="7" t="n">
        <v>0</v>
      </c>
      <c r="H29" s="7" t="n">
        <v>0</v>
      </c>
      <c r="I29" s="4">
        <f>F29-H29</f>
        <v/>
      </c>
    </row>
    <row r="30">
      <c r="A30" t="inlineStr">
        <is>
          <t>P.QS</t>
        </is>
      </c>
      <c r="B30" t="inlineStr">
        <is>
          <t>P4</t>
        </is>
      </c>
      <c r="C30" t="inlineStr">
        <is>
          <t>Professional</t>
        </is>
      </c>
      <c r="D30" t="inlineStr">
        <is>
          <t>4.4</t>
        </is>
      </c>
      <c r="E30" t="inlineStr">
        <is>
          <t>Quantity Surveyor</t>
        </is>
      </c>
      <c r="F30" s="7" t="n">
        <v>439992</v>
      </c>
      <c r="G30" s="7" t="n">
        <v>0</v>
      </c>
      <c r="H30" s="7" t="n">
        <v>0</v>
      </c>
      <c r="I30" s="4">
        <f>F30-H30</f>
        <v/>
      </c>
    </row>
    <row r="31">
      <c r="A31" t="inlineStr">
        <is>
          <t>P.SURVEY</t>
        </is>
      </c>
      <c r="B31" t="inlineStr">
        <is>
          <t>P4</t>
        </is>
      </c>
      <c r="C31" t="inlineStr">
        <is>
          <t>Professional</t>
        </is>
      </c>
      <c r="D31" t="inlineStr">
        <is>
          <t>4.5</t>
        </is>
      </c>
      <c r="E31" t="inlineStr">
        <is>
          <t>Land Surveyor</t>
        </is>
      </c>
      <c r="F31" s="7" t="n">
        <v>30000</v>
      </c>
      <c r="G31" s="7" t="n">
        <v>0</v>
      </c>
      <c r="H31" s="7" t="n">
        <v>0</v>
      </c>
      <c r="I31" s="4">
        <f>F31-H31</f>
        <v/>
      </c>
    </row>
    <row r="32">
      <c r="A32" t="inlineStr">
        <is>
          <t>P.PLANNER</t>
        </is>
      </c>
      <c r="B32" t="inlineStr">
        <is>
          <t>P4</t>
        </is>
      </c>
      <c r="C32" t="inlineStr">
        <is>
          <t>Professional</t>
        </is>
      </c>
      <c r="D32" t="inlineStr">
        <is>
          <t>4.6</t>
        </is>
      </c>
      <c r="E32" t="inlineStr">
        <is>
          <t>Town Planner</t>
        </is>
      </c>
      <c r="F32" s="7" t="n">
        <v>60000</v>
      </c>
      <c r="G32" s="7" t="n">
        <v>0</v>
      </c>
      <c r="H32" s="7" t="n">
        <v>0</v>
      </c>
      <c r="I32" s="4">
        <f>F32-H32</f>
        <v/>
      </c>
    </row>
    <row r="33">
      <c r="A33" t="inlineStr">
        <is>
          <t>P.GEOTECH</t>
        </is>
      </c>
      <c r="B33" t="inlineStr">
        <is>
          <t>P4</t>
        </is>
      </c>
      <c r="C33" t="inlineStr">
        <is>
          <t>Professional</t>
        </is>
      </c>
      <c r="D33" t="inlineStr">
        <is>
          <t>4.7</t>
        </is>
      </c>
      <c r="E33" t="inlineStr">
        <is>
          <t>Geotech / SI</t>
        </is>
      </c>
      <c r="F33" s="7" t="n">
        <v>80000</v>
      </c>
      <c r="G33" s="7" t="n">
        <v>0</v>
      </c>
      <c r="H33" s="7" t="n">
        <v>0</v>
      </c>
      <c r="I33" s="4">
        <f>F33-H33</f>
        <v/>
      </c>
    </row>
    <row r="34">
      <c r="A34" t="inlineStr">
        <is>
          <t>P.LEGAL</t>
        </is>
      </c>
      <c r="B34" t="inlineStr">
        <is>
          <t>P4</t>
        </is>
      </c>
      <c r="C34" t="inlineStr">
        <is>
          <t>Professional</t>
        </is>
      </c>
      <c r="D34" t="inlineStr">
        <is>
          <t>4.8</t>
        </is>
      </c>
      <c r="E34" t="inlineStr">
        <is>
          <t>Legal (SPA/APDL/Title)</t>
        </is>
      </c>
      <c r="F34" s="7" t="n">
        <v>160000</v>
      </c>
      <c r="G34" s="7" t="n">
        <v>0</v>
      </c>
      <c r="H34" s="7" t="n">
        <v>0</v>
      </c>
      <c r="I34" s="4">
        <f>F34-H34</f>
        <v/>
      </c>
    </row>
    <row r="35">
      <c r="A35" t="inlineStr">
        <is>
          <t>F.IDC</t>
        </is>
      </c>
      <c r="B35" t="inlineStr">
        <is>
          <t>P5</t>
        </is>
      </c>
      <c r="C35" t="inlineStr">
        <is>
          <t>Finance</t>
        </is>
      </c>
      <c r="D35" t="inlineStr">
        <is>
          <t>5.1</t>
        </is>
      </c>
      <c r="E35" t="inlineStr">
        <is>
          <t>Bridging Loan Interest (IDC)</t>
        </is>
      </c>
      <c r="F35" s="7" t="n">
        <v>3800000</v>
      </c>
      <c r="G35" s="7" t="n">
        <v>0</v>
      </c>
      <c r="H35" s="7" t="n">
        <v>0</v>
      </c>
      <c r="I35" s="4">
        <f>F35-H35</f>
        <v/>
      </c>
    </row>
    <row r="36">
      <c r="A36" t="inlineStr">
        <is>
          <t>F.LOANFEE</t>
        </is>
      </c>
      <c r="B36" t="inlineStr">
        <is>
          <t>P5</t>
        </is>
      </c>
      <c r="C36" t="inlineStr">
        <is>
          <t>Finance</t>
        </is>
      </c>
      <c r="D36" t="inlineStr">
        <is>
          <t>5.2</t>
        </is>
      </c>
      <c r="E36" t="inlineStr">
        <is>
          <t>Loan Arrangement + Legal</t>
        </is>
      </c>
      <c r="F36" s="7" t="n">
        <v>351993.6</v>
      </c>
      <c r="G36" s="7" t="n">
        <v>0</v>
      </c>
      <c r="H36" s="7" t="n">
        <v>0</v>
      </c>
      <c r="I36" s="4">
        <f>F36-H36</f>
        <v/>
      </c>
    </row>
    <row r="37">
      <c r="A37" t="inlineStr">
        <is>
          <t>F.GALLERY</t>
        </is>
      </c>
      <c r="B37" t="inlineStr">
        <is>
          <t>P5</t>
        </is>
      </c>
      <c r="C37" t="inlineStr">
        <is>
          <t>Finance</t>
        </is>
      </c>
      <c r="D37" t="inlineStr">
        <is>
          <t>5.3</t>
        </is>
      </c>
      <c r="E37" t="inlineStr">
        <is>
          <t>Sales Gallery + Show Units</t>
        </is>
      </c>
      <c r="F37" s="7" t="n">
        <v>700000</v>
      </c>
      <c r="G37" s="7" t="n">
        <v>0</v>
      </c>
      <c r="H37" s="7" t="n">
        <v>0</v>
      </c>
      <c r="I37" s="4">
        <f>F37-H37</f>
        <v/>
      </c>
    </row>
    <row r="38">
      <c r="A38" t="inlineStr">
        <is>
          <t>F.MKT</t>
        </is>
      </c>
      <c r="B38" t="inlineStr">
        <is>
          <t>P5</t>
        </is>
      </c>
      <c r="C38" t="inlineStr">
        <is>
          <t>Finance</t>
        </is>
      </c>
      <c r="D38" t="inlineStr">
        <is>
          <t>5.4</t>
        </is>
      </c>
      <c r="E38" t="inlineStr">
        <is>
          <t>Digital &amp; Print Marketing</t>
        </is>
      </c>
      <c r="F38" s="7" t="n">
        <v>320000</v>
      </c>
      <c r="G38" s="7" t="n">
        <v>0</v>
      </c>
      <c r="H38" s="7" t="n">
        <v>0</v>
      </c>
      <c r="I38" s="4">
        <f>F38-H38</f>
        <v/>
      </c>
    </row>
    <row r="39">
      <c r="A39" t="inlineStr">
        <is>
          <t>F.AGENT</t>
        </is>
      </c>
      <c r="B39" t="inlineStr">
        <is>
          <t>P5</t>
        </is>
      </c>
      <c r="C39" t="inlineStr">
        <is>
          <t>Finance</t>
        </is>
      </c>
      <c r="D39" t="inlineStr">
        <is>
          <t>5.5</t>
        </is>
      </c>
      <c r="E39" t="inlineStr">
        <is>
          <t>Agent Commission</t>
        </is>
      </c>
      <c r="F39" s="7" t="n">
        <v>6939280.338</v>
      </c>
      <c r="G39" s="7" t="n">
        <v>0</v>
      </c>
      <c r="H39" s="7" t="n">
        <v>0</v>
      </c>
      <c r="I39" s="4">
        <f>F39-H39</f>
        <v/>
      </c>
    </row>
    <row r="40">
      <c r="A40" t="inlineStr">
        <is>
          <t>F.APDL</t>
        </is>
      </c>
      <c r="B40" t="inlineStr">
        <is>
          <t>P5</t>
        </is>
      </c>
      <c r="C40" t="inlineStr">
        <is>
          <t>Finance</t>
        </is>
      </c>
      <c r="D40" t="inlineStr">
        <is>
          <t>5.6</t>
        </is>
      </c>
      <c r="E40" t="inlineStr">
        <is>
          <t>APDL + Developer Licence</t>
        </is>
      </c>
      <c r="F40" s="7" t="n">
        <v>25000</v>
      </c>
      <c r="G40" s="7" t="n">
        <v>0</v>
      </c>
      <c r="H40" s="7" t="n">
        <v>0</v>
      </c>
      <c r="I40" s="4">
        <f>F40-H40</f>
        <v/>
      </c>
    </row>
    <row r="41">
      <c r="A41" t="inlineStr">
        <is>
          <t>F.PM</t>
        </is>
      </c>
      <c r="B41" t="inlineStr">
        <is>
          <t>P5</t>
        </is>
      </c>
      <c r="C41" t="inlineStr">
        <is>
          <t>Finance</t>
        </is>
      </c>
      <c r="D41" t="inlineStr">
        <is>
          <t>5.7</t>
        </is>
      </c>
      <c r="E41" t="inlineStr">
        <is>
          <t>Internal PM Allocation</t>
        </is>
      </c>
      <c r="F41" s="7" t="n">
        <v>480000</v>
      </c>
      <c r="G41" s="7" t="n">
        <v>0</v>
      </c>
      <c r="H41" s="7" t="n">
        <v>0</v>
      </c>
      <c r="I41" s="4">
        <f>F41-H41</f>
        <v/>
      </c>
    </row>
    <row r="42">
      <c r="A42" t="inlineStr">
        <is>
          <t>F.INS</t>
        </is>
      </c>
      <c r="B42" t="inlineStr">
        <is>
          <t>P5</t>
        </is>
      </c>
      <c r="C42" t="inlineStr">
        <is>
          <t>Finance</t>
        </is>
      </c>
      <c r="D42" t="inlineStr">
        <is>
          <t>5.8</t>
        </is>
      </c>
      <c r="E42" t="inlineStr">
        <is>
          <t>Insurance (CAR/PI/PL)</t>
        </is>
      </c>
      <c r="F42" s="7" t="n">
        <v>263995.2</v>
      </c>
      <c r="G42" s="7" t="n">
        <v>0</v>
      </c>
      <c r="H42" s="7" t="n">
        <v>0</v>
      </c>
      <c r="I42" s="4">
        <f>F42-H42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10" customWidth="1" min="8" max="8"/>
  </cols>
  <sheetData>
    <row r="1">
      <c r="A1" s="1" t="inlineStr">
        <is>
          <t>code</t>
        </is>
      </c>
      <c r="B1" s="1" t="inlineStr">
        <is>
          <t>curve_type</t>
        </is>
      </c>
      <c r="C1" s="1" t="inlineStr">
        <is>
          <t>Y0</t>
        </is>
      </c>
      <c r="D1" s="1" t="inlineStr">
        <is>
          <t>Y1</t>
        </is>
      </c>
      <c r="E1" s="1" t="inlineStr">
        <is>
          <t>Y2</t>
        </is>
      </c>
      <c r="F1" s="1" t="inlineStr">
        <is>
          <t>Y3</t>
        </is>
      </c>
      <c r="G1" s="1" t="inlineStr">
        <is>
          <t>Y4</t>
        </is>
      </c>
      <c r="H1" s="1" t="inlineStr">
        <is>
          <t>sum_check</t>
        </is>
      </c>
    </row>
    <row r="2">
      <c r="A2" t="inlineStr">
        <is>
          <t>CV.SPEND</t>
        </is>
      </c>
      <c r="B2" t="inlineStr">
        <is>
          <t>spend</t>
        </is>
      </c>
      <c r="C2" s="5" t="n">
        <v>0.1</v>
      </c>
      <c r="D2" s="5" t="n">
        <v>0.3</v>
      </c>
      <c r="E2" s="5" t="n">
        <v>0.35</v>
      </c>
      <c r="F2" s="5" t="n">
        <v>0.2</v>
      </c>
      <c r="G2" s="5" t="n">
        <v>0.05</v>
      </c>
      <c r="H2" s="3">
        <f>SUM(C2:G2)</f>
        <v/>
      </c>
    </row>
    <row r="3">
      <c r="A3" t="inlineStr">
        <is>
          <t>CV.COLLECT</t>
        </is>
      </c>
      <c r="B3" t="inlineStr">
        <is>
          <t>collection</t>
        </is>
      </c>
      <c r="C3" s="5" t="n">
        <v>0.03</v>
      </c>
      <c r="D3" s="5" t="n">
        <v>0.2</v>
      </c>
      <c r="E3" s="5" t="n">
        <v>0.35</v>
      </c>
      <c r="F3" s="5" t="n">
        <v>0.3</v>
      </c>
      <c r="G3" s="5" t="n">
        <v>0.12</v>
      </c>
      <c r="H3" s="3">
        <f>SUM(C3:G3)</f>
        <v/>
      </c>
    </row>
    <row r="4">
      <c r="A4" t="inlineStr">
        <is>
          <t>CV.BILLING</t>
        </is>
      </c>
      <c r="B4" t="inlineStr">
        <is>
          <t>billing</t>
        </is>
      </c>
      <c r="C4" s="5" t="n">
        <v>0.1</v>
      </c>
      <c r="D4" s="5" t="n">
        <v>0.3</v>
      </c>
      <c r="E4" s="5" t="n">
        <v>0.35</v>
      </c>
      <c r="F4" s="5" t="n">
        <v>0.2</v>
      </c>
      <c r="G4" s="5" t="n">
        <v>0.05</v>
      </c>
      <c r="H4" s="3">
        <f>SUM(C4:G4)</f>
        <v/>
      </c>
    </row>
    <row r="5">
      <c r="A5" t="inlineStr">
        <is>
          <t>CV.ROS</t>
        </is>
      </c>
      <c r="B5" t="inlineStr">
        <is>
          <t>ros</t>
        </is>
      </c>
      <c r="C5" s="5" t="n">
        <v>0.2</v>
      </c>
      <c r="D5" s="5" t="n">
        <v>0.35</v>
      </c>
      <c r="E5" s="5" t="n">
        <v>0.25</v>
      </c>
      <c r="F5" s="5" t="n">
        <v>0.15</v>
      </c>
      <c r="G5" s="5" t="n">
        <v>0.05</v>
      </c>
      <c r="H5" s="3">
        <f>SUM(C5:G5)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3" t="inlineStr">
        <is>
          <t>PHASE 1 CASH FLOW — sourced from tables</t>
        </is>
      </c>
    </row>
    <row r="3">
      <c r="B3" s="14" t="inlineStr">
        <is>
          <t>(curves resolved from tbl_CURVE)</t>
        </is>
      </c>
      <c r="C3" s="1" t="inlineStr">
        <is>
          <t>Y0</t>
        </is>
      </c>
      <c r="D3" s="1" t="inlineStr">
        <is>
          <t>Y1</t>
        </is>
      </c>
      <c r="E3" s="1" t="inlineStr">
        <is>
          <t>Y2</t>
        </is>
      </c>
      <c r="F3" s="1" t="inlineStr">
        <is>
          <t>Y3</t>
        </is>
      </c>
      <c r="G3" s="1" t="inlineStr">
        <is>
          <t>Y4</t>
        </is>
      </c>
    </row>
    <row r="4">
      <c r="B4" t="inlineStr">
        <is>
          <t>spend</t>
        </is>
      </c>
      <c r="C4" s="3">
        <f>INDEX(tbl_CURVE[Y0],MATCH("spend",tbl_CURVE[curve_type],0))</f>
        <v/>
      </c>
      <c r="D4" s="3">
        <f>INDEX(tbl_CURVE[Y1],MATCH("spend",tbl_CURVE[curve_type],0))</f>
        <v/>
      </c>
      <c r="E4" s="3">
        <f>INDEX(tbl_CURVE[Y2],MATCH("spend",tbl_CURVE[curve_type],0))</f>
        <v/>
      </c>
      <c r="F4" s="3">
        <f>INDEX(tbl_CURVE[Y3],MATCH("spend",tbl_CURVE[curve_type],0))</f>
        <v/>
      </c>
      <c r="G4" s="3">
        <f>INDEX(tbl_CURVE[Y4],MATCH("spend",tbl_CURVE[curve_type],0))</f>
        <v/>
      </c>
    </row>
    <row r="5">
      <c r="B5" t="inlineStr">
        <is>
          <t>collection</t>
        </is>
      </c>
      <c r="C5" s="3">
        <f>INDEX(tbl_CURVE[Y0],MATCH("collection",tbl_CURVE[curve_type],0))</f>
        <v/>
      </c>
      <c r="D5" s="3">
        <f>INDEX(tbl_CURVE[Y1],MATCH("collection",tbl_CURVE[curve_type],0))</f>
        <v/>
      </c>
      <c r="E5" s="3">
        <f>INDEX(tbl_CURVE[Y2],MATCH("collection",tbl_CURVE[curve_type],0))</f>
        <v/>
      </c>
      <c r="F5" s="3">
        <f>INDEX(tbl_CURVE[Y3],MATCH("collection",tbl_CURVE[curve_type],0))</f>
        <v/>
      </c>
      <c r="G5" s="3">
        <f>INDEX(tbl_CURVE[Y4],MATCH("collection",tbl_CURVE[curve_type],0))</f>
        <v/>
      </c>
    </row>
    <row r="7">
      <c r="B7" t="inlineStr">
        <is>
          <t>Land outflow (P1)</t>
        </is>
      </c>
      <c r="C7" s="4">
        <f>COST!M2</f>
        <v/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B8" t="inlineStr">
        <is>
          <t>Dev outflow (P2-P5)</t>
        </is>
      </c>
      <c r="C8" s="4">
        <f>(COST!$M$7-COST!$M$2)*C4</f>
        <v/>
      </c>
      <c r="D8" s="4">
        <f>(COST!$M$7-COST!$M$2)*D4</f>
        <v/>
      </c>
      <c r="E8" s="4">
        <f>(COST!$M$7-COST!$M$2)*E4</f>
        <v/>
      </c>
      <c r="F8" s="4">
        <f>(COST!$M$7-COST!$M$2)*F4</f>
        <v/>
      </c>
      <c r="G8" s="4">
        <f>(COST!$M$7-COST!$M$2)*G4</f>
        <v/>
      </c>
    </row>
    <row r="9">
      <c r="B9" s="1" t="inlineStr">
        <is>
          <t>Total outflow</t>
        </is>
      </c>
      <c r="C9" s="6">
        <f>C7+C8</f>
        <v/>
      </c>
      <c r="D9" s="6">
        <f>D7+D8</f>
        <v/>
      </c>
      <c r="E9" s="6">
        <f>E7+E8</f>
        <v/>
      </c>
      <c r="F9" s="6">
        <f>F7+F8</f>
        <v/>
      </c>
      <c r="G9" s="6">
        <f>G7+G8</f>
        <v/>
      </c>
    </row>
    <row r="11">
      <c r="B11" t="inlineStr">
        <is>
          <t>Revenue inflow</t>
        </is>
      </c>
      <c r="C11" s="4">
        <f>COST!$M$8*C5</f>
        <v/>
      </c>
      <c r="D11" s="4">
        <f>COST!$M$8*D5</f>
        <v/>
      </c>
      <c r="E11" s="4">
        <f>COST!$M$8*E5</f>
        <v/>
      </c>
      <c r="F11" s="4">
        <f>COST!$M$8*F5</f>
        <v/>
      </c>
      <c r="G11" s="4">
        <f>COST!$M$8*G5</f>
        <v/>
      </c>
    </row>
    <row r="13">
      <c r="B13" s="1" t="inlineStr">
        <is>
          <t>Net cash flow</t>
        </is>
      </c>
      <c r="C13" s="6">
        <f>C11-C9</f>
        <v/>
      </c>
      <c r="D13" s="6">
        <f>D11-D9</f>
        <v/>
      </c>
      <c r="E13" s="6">
        <f>E11-E9</f>
        <v/>
      </c>
      <c r="F13" s="6">
        <f>F11-F9</f>
        <v/>
      </c>
      <c r="G13" s="6">
        <f>G11-G9</f>
        <v/>
      </c>
    </row>
    <row r="14">
      <c r="B14" t="inlineStr">
        <is>
          <t>Cumulative</t>
        </is>
      </c>
      <c r="C14" s="4">
        <f>C13</f>
        <v/>
      </c>
      <c r="D14" s="4">
        <f>C14+D13</f>
        <v/>
      </c>
      <c r="E14" s="4">
        <f>D14+E13</f>
        <v/>
      </c>
      <c r="F14" s="4">
        <f>E14+F13</f>
        <v/>
      </c>
      <c r="G14" s="4">
        <f>F14+G13</f>
        <v/>
      </c>
    </row>
    <row r="16">
      <c r="B16" s="10" t="inlineStr">
        <is>
          <t>IRR</t>
        </is>
      </c>
      <c r="C16" s="12">
        <f>IRR(C13:G13)</f>
        <v/>
      </c>
    </row>
    <row r="17">
      <c r="B17" s="10" t="inlineStr">
        <is>
          <t>NPV @WACC</t>
        </is>
      </c>
      <c r="C17" s="11">
        <f>NPV(META!$G$2,D13:G13)+C13</f>
        <v/>
      </c>
    </row>
    <row r="18">
      <c r="B18" s="10" t="inlineStr">
        <is>
          <t>Peak funding</t>
        </is>
      </c>
      <c r="C18" s="11">
        <f>MIN(C14:G14)</f>
        <v/>
      </c>
    </row>
    <row r="19">
      <c r="B19" s="10" t="inlineStr">
        <is>
          <t>PBT</t>
        </is>
      </c>
      <c r="C19" s="11">
        <f>COST!M9</f>
        <v/>
      </c>
    </row>
    <row r="20">
      <c r="B20" s="10" t="inlineStr">
        <is>
          <t>Margin</t>
        </is>
      </c>
      <c r="C20" s="12">
        <f>COST!M10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2026-06-15T16:26:32Z</dcterms:created>
  <dcterms:modified xsi:type="dcterms:W3CDTF">2026-06-15T16:26:32Z</dcterms:modified>
</cp:coreProperties>
</file>