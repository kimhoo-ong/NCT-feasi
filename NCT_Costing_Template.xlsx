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COSTING" sheetId="2" state="visible" r:id="rId4"/>
    <sheet name="SUMMARY" sheetId="3" state="visible" r:id="rId5"/>
    <sheet name="BENCHMAR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<sst xmlns="http://schemas.openxmlformats.org/spreadsheetml/2006/main" count="411" uniqueCount="380">
  <si>
    <t xml:space="preserve">PROPERTY DEVELOPMENT — COSTING TEMPLATE</t>
  </si>
  <si>
    <t xml:space="preserve">INPUT ASSUMPTIONS  |  Blue = hardcoded input  |  Black = calculated</t>
  </si>
  <si>
    <t xml:space="preserve">A · PROJECT INFORMATION</t>
  </si>
  <si>
    <t xml:space="preserve">Project Name</t>
  </si>
  <si>
    <t xml:space="preserve">Project XYZ</t>
  </si>
  <si>
    <t xml:space="preserve">Enter project name</t>
  </si>
  <si>
    <t xml:space="preserve">Developer</t>
  </si>
  <si>
    <t xml:space="preserve">NCT Group</t>
  </si>
  <si>
    <t xml:space="preserve">Developer / JV entity</t>
  </si>
  <si>
    <t xml:space="preserve">Location</t>
  </si>
  <si>
    <t xml:space="preserve">Selangor</t>
  </si>
  <si>
    <t xml:space="preserve">State / town</t>
  </si>
  <si>
    <t xml:space="preserve">Product Type</t>
  </si>
  <si>
    <t xml:space="preserve">High-rise Resi</t>
  </si>
  <si>
    <t xml:space="preserve">Residential / Commercial / Mixed</t>
  </si>
  <si>
    <t xml:space="preserve">Target VP Date</t>
  </si>
  <si>
    <t xml:space="preserve">Dec 2028</t>
  </si>
  <si>
    <t xml:space="preserve">Vacant Possession target month/year</t>
  </si>
  <si>
    <t xml:space="preserve">Construction Period</t>
  </si>
  <si>
    <t xml:space="preserve">months</t>
  </si>
  <si>
    <t xml:space="preserve">Months from piling to CCC</t>
  </si>
  <si>
    <t xml:space="preserve">B · LAND &amp; AREA PARAMETERS</t>
  </si>
  <si>
    <t xml:space="preserve">Gross Land Area (GLA)</t>
  </si>
  <si>
    <t xml:space="preserve">acres</t>
  </si>
  <si>
    <t xml:space="preserve">Per title / sale agreement</t>
  </si>
  <si>
    <t xml:space="preserve">Net Developable Area % (NDA%)</t>
  </si>
  <si>
    <t xml:space="preserve">%</t>
  </si>
  <si>
    <t xml:space="preserve">After reserves, open space, river buffer</t>
  </si>
  <si>
    <t xml:space="preserve">Net Developable Area (NDA)</t>
  </si>
  <si>
    <t xml:space="preserve"> GLA × NDA%</t>
  </si>
  <si>
    <t xml:space="preserve">Plot Ratio</t>
  </si>
  <si>
    <t xml:space="preserve">Approved / assumed from pre-consultation</t>
  </si>
  <si>
    <t xml:space="preserve">Gross Floor Area (GFA)</t>
  </si>
  <si>
    <t xml:space="preserve">sqft</t>
  </si>
  <si>
    <t xml:space="preserve"> NDA (acres) × 43,560 × Plot Ratio</t>
  </si>
  <si>
    <t xml:space="preserve">Efficiency Ratio</t>
  </si>
  <si>
    <t xml:space="preserve">GFA → NFA; typical hi-rise resi 75–82%</t>
  </si>
  <si>
    <t xml:space="preserve">Nett Floor Area (NFA) — Sellable</t>
  </si>
  <si>
    <t xml:space="preserve"> GFA × Efficiency Ratio — base for psf calcs</t>
  </si>
  <si>
    <t xml:space="preserve">Average Unit Size</t>
  </si>
  <si>
    <t xml:space="preserve">Weighted average across all unit types</t>
  </si>
  <si>
    <t xml:space="preserve">Total Units (estimate)</t>
  </si>
  <si>
    <t xml:space="preserve">units</t>
  </si>
  <si>
    <t xml:space="preserve"> NFA ÷ Avg Unit Size</t>
  </si>
  <si>
    <t xml:space="preserve">C · GDV ASSUMPTIONS</t>
  </si>
  <si>
    <t xml:space="preserve">Average Selling Price (ASP)</t>
  </si>
  <si>
    <t xml:space="preserve">RM psf</t>
  </si>
  <si>
    <t xml:space="preserve">Open market residential, NFA basis</t>
  </si>
  <si>
    <t xml:space="preserve">Bumi Quota %</t>
  </si>
  <si>
    <t xml:space="preserve">Per planning approval requirement</t>
  </si>
  <si>
    <t xml:space="preserve">Bumi Discount %</t>
  </si>
  <si>
    <t xml:space="preserve">Typical 5–15%; refer DA conditions</t>
  </si>
  <si>
    <t xml:space="preserve">Affordable / Low-cost %</t>
  </si>
  <si>
    <t xml:space="preserve">PR1MA / RumahWIP / Selangorku etc</t>
  </si>
  <si>
    <t xml:space="preserve">Affordable Selling Price</t>
  </si>
  <si>
    <t xml:space="preserve">RM/unit</t>
  </si>
  <si>
    <t xml:space="preserve">Fixed by authority; not psf-based</t>
  </si>
  <si>
    <t xml:space="preserve">Car Park Bays (extra)</t>
  </si>
  <si>
    <t xml:space="preserve">bays</t>
  </si>
  <si>
    <t xml:space="preserve">Bays sold separately beyond 1:1 allocation</t>
  </si>
  <si>
    <t xml:space="preserve">Car Park Price per Bay</t>
  </si>
  <si>
    <t xml:space="preserve">RM/bay</t>
  </si>
  <si>
    <t xml:space="preserve">Typical KV range RM 30k–60k</t>
  </si>
  <si>
    <t xml:space="preserve">→ Gross GDV (Open Market)</t>
  </si>
  <si>
    <t xml:space="preserve">RM</t>
  </si>
  <si>
    <t xml:space="preserve">NFA × ASP</t>
  </si>
  <si>
    <t xml:space="preserve">→ Less: Bumi Discount</t>
  </si>
  <si>
    <t xml:space="preserve">Bumi NFA × ASP × Discount%</t>
  </si>
  <si>
    <t xml:space="preserve">→ Less: Affordable Units (cross-subsidy)</t>
  </si>
  <si>
    <t xml:space="preserve">Units × affordable units% × (market price – fixed price)</t>
  </si>
  <si>
    <t xml:space="preserve">→ Car Park Revenue</t>
  </si>
  <si>
    <t xml:space="preserve">Extra bays × price/bay</t>
  </si>
  <si>
    <t xml:space="preserve">NET GDV</t>
  </si>
  <si>
    <t xml:space="preserve"> Gross GDV − Bumi Disc − Affordable subsidy + Car Park</t>
  </si>
  <si>
    <t xml:space="preserve">GROSS DEVELOPMENT COST — 5 PILLARS  |  Detailed Costing Template</t>
  </si>
  <si>
    <t xml:space="preserve">Blue = input  |  Black = formula  |  Green = cross-sheet link  |  psf based on NFA (sellable area)</t>
  </si>
  <si>
    <t xml:space="preserve">#</t>
  </si>
  <si>
    <t xml:space="preserve">Cost Item / Sub-item</t>
  </si>
  <si>
    <t xml:space="preserve">Budget (RM)</t>
  </si>
  <si>
    <t xml:space="preserve">Committed (RM)</t>
  </si>
  <si>
    <t xml:space="preserve">Actual (RM)</t>
  </si>
  <si>
    <t xml:space="preserve">Variance (RM)</t>
  </si>
  <si>
    <t xml:space="preserve">Budget psf NFA</t>
  </si>
  <si>
    <t xml:space="preserve">Actual psf NFA</t>
  </si>
  <si>
    <t xml:space="preserve">Notes / Source</t>
  </si>
  <si>
    <t xml:space="preserve">P1</t>
  </si>
  <si>
    <t xml:space="preserve">PILLAR 1 · LAND COST</t>
  </si>
  <si>
    <t xml:space="preserve">Typical: 15–25% of Net GDV</t>
  </si>
  <si>
    <t xml:space="preserve">1.1</t>
  </si>
  <si>
    <t xml:space="preserve">    Land Purchase Price</t>
  </si>
  <si>
    <t xml:space="preserve">Per SPA / negotiated price</t>
  </si>
  <si>
    <t xml:space="preserve">1.2</t>
  </si>
  <si>
    <t xml:space="preserve">    Stamp Duty on Transfer</t>
  </si>
  <si>
    <t xml:space="preserve">Tiered: 1%/2%/3%/4%</t>
  </si>
  <si>
    <t xml:space="preserve">1.3</t>
  </si>
  <si>
    <t xml:space="preserve">    Legal Fees (Land Purchase)</t>
  </si>
  <si>
    <t xml:space="preserve">~1% of land price; verify with solicitor</t>
  </si>
  <si>
    <t xml:space="preserve">1.4</t>
  </si>
  <si>
    <t xml:space="preserve">    Land Conversion Premium</t>
  </si>
  <si>
    <t xml:space="preserve">Agri → Building; state authority assessment</t>
  </si>
  <si>
    <t xml:space="preserve">1.5</t>
  </si>
  <si>
    <t xml:space="preserve">    State Authority Consent Fee</t>
  </si>
  <si>
    <t xml:space="preserve">If restriction-in-interest applies</t>
  </si>
  <si>
    <t xml:space="preserve">1.6</t>
  </si>
  <si>
    <t xml:space="preserve">    Land Valuation Fee</t>
  </si>
  <si>
    <t xml:space="preserve">~0.25% of market value; bank requirement</t>
  </si>
  <si>
    <t xml:space="preserve">1.7</t>
  </si>
  <si>
    <t xml:space="preserve">    Quit Rent &amp; Assessment Arrears</t>
  </si>
  <si>
    <t xml:space="preserve">Check via title search; buyer absorbs</t>
  </si>
  <si>
    <t xml:space="preserve">1.8</t>
  </si>
  <si>
    <t xml:space="preserve">    Land Loan Interest (Holding)</t>
  </si>
  <si>
    <t xml:space="preserve">Land loan interest from acquisition to launch</t>
  </si>
  <si>
    <t xml:space="preserve">1.9</t>
  </si>
  <si>
    <t xml:space="preserve">    Contingency (Land)</t>
  </si>
  <si>
    <t xml:space="preserve">2% contingency on land costs</t>
  </si>
  <si>
    <t xml:space="preserve">PILLAR 1 TOTAL — Land Cost</t>
  </si>
  <si>
    <t xml:space="preserve">P2</t>
  </si>
  <si>
    <t xml:space="preserve">PILLAR 2 · CONSTRUCTION COST</t>
  </si>
  <si>
    <t xml:space="preserve">Typical: 45–50% of Net GDV</t>
  </si>
  <si>
    <t xml:space="preserve">2.1</t>
  </si>
  <si>
    <t xml:space="preserve">    Piling Works</t>
  </si>
  <si>
    <t xml:space="preserve">Type depends on soil report (bored/driven)</t>
  </si>
  <si>
    <t xml:space="preserve">2.2</t>
  </si>
  <si>
    <t xml:space="preserve">    Substructure / Foundation</t>
  </si>
  <si>
    <t xml:space="preserve">Basement, raft, pile caps</t>
  </si>
  <si>
    <t xml:space="preserve">2.3</t>
  </si>
  <si>
    <t xml:space="preserve">    Superstructure — C&amp;S</t>
  </si>
  <si>
    <t xml:space="preserve">RC frame, slabs, beams; largest single item</t>
  </si>
  <si>
    <t xml:space="preserve">2.4</t>
  </si>
  <si>
    <t xml:space="preserve">    Architectural Works</t>
  </si>
  <si>
    <t xml:space="preserve">Façade, partitions, doors/windows, finishes</t>
  </si>
  <si>
    <t xml:space="preserve">2.5</t>
  </si>
  <si>
    <t xml:space="preserve">    M&amp;E — Mechanical</t>
  </si>
  <si>
    <t xml:space="preserve">HVAC, fire suppression, lifts/escalators</t>
  </si>
  <si>
    <t xml:space="preserve">2.6</t>
  </si>
  <si>
    <t xml:space="preserve">    M&amp;E — Electrical</t>
  </si>
  <si>
    <t xml:space="preserve">LV/HV distribution, lighting, ELV systems</t>
  </si>
  <si>
    <t xml:space="preserve">2.7</t>
  </si>
  <si>
    <t xml:space="preserve">    Plumbing &amp; Sanitary</t>
  </si>
  <si>
    <t xml:space="preserve">Internal water supply &amp; sewerage</t>
  </si>
  <si>
    <t xml:space="preserve">2.8</t>
  </si>
  <si>
    <t xml:space="preserve">    Landscaping (Internal)</t>
  </si>
  <si>
    <t xml:space="preserve">Podium landscape, pool deck, gym fit-out</t>
  </si>
  <si>
    <t xml:space="preserve">2.9</t>
  </si>
  <si>
    <t xml:space="preserve">    Preliminaries</t>
  </si>
  <si>
    <t xml:space="preserve">~8% of trade works; site mgmt, temp works, insurance</t>
  </si>
  <si>
    <t xml:space="preserve">2.10</t>
  </si>
  <si>
    <t xml:space="preserve">    Contingency (Construction)</t>
  </si>
  <si>
    <t xml:space="preserve">5% contingency; used for approved VOs</t>
  </si>
  <si>
    <t xml:space="preserve">PILLAR 2 TOTAL — Construction Cost</t>
  </si>
  <si>
    <t xml:space="preserve">P3</t>
  </si>
  <si>
    <t xml:space="preserve">PILLAR 3 · INFRASTRUCTURE + STATUTORY CONTRIBUTIONS</t>
  </si>
  <si>
    <t xml:space="preserve">Typical: 8–15% of Net GDV</t>
  </si>
  <si>
    <t xml:space="preserve">3.1</t>
  </si>
  <si>
    <t xml:space="preserve">    Internal Roads &amp; Driveways</t>
  </si>
  <si>
    <t xml:space="preserve">Tarmac, curbs, road markings within site</t>
  </si>
  <si>
    <t xml:space="preserve">3.2</t>
  </si>
  <si>
    <t xml:space="preserve">    External Road Upgrade (JKR)</t>
  </si>
  <si>
    <t xml:space="preserve">Off-site road widening per JKR requirement</t>
  </si>
  <si>
    <t xml:space="preserve">3.3</t>
  </si>
  <si>
    <t xml:space="preserve">    Drainage &amp; Stormwater (JPS)</t>
  </si>
  <si>
    <t xml:space="preserve">Internal drains + tie-in to JPS system</t>
  </si>
  <si>
    <t xml:space="preserve">3.4</t>
  </si>
  <si>
    <t xml:space="preserve">    TNB Substation &amp; Cabling</t>
  </si>
  <si>
    <t xml:space="preserve">Main substation contribution + cabling to boundary</t>
  </si>
  <si>
    <t xml:space="preserve">3.5</t>
  </si>
  <si>
    <t xml:space="preserve">    Water Supply (SYABAS/Air Sel)</t>
  </si>
  <si>
    <t xml:space="preserve">Pipe laying + reservoir contribution</t>
  </si>
  <si>
    <t xml:space="preserve">3.6</t>
  </si>
  <si>
    <t xml:space="preserve">    Sewerage (IWK / SPAN)</t>
  </si>
  <si>
    <t xml:space="preserve">Connection to IWK mains or on-site STP</t>
  </si>
  <si>
    <t xml:space="preserve">3.7</t>
  </si>
  <si>
    <t xml:space="preserve">    Telco Ducting (MCMC)</t>
  </si>
  <si>
    <t xml:space="preserve">Underground telco duct network</t>
  </si>
  <si>
    <t xml:space="preserve">3.8</t>
  </si>
  <si>
    <t xml:space="preserve">    Open Space Landscaping</t>
  </si>
  <si>
    <t xml:space="preserve">Public open space per DA condition (10% of site)</t>
  </si>
  <si>
    <t xml:space="preserve">3.9</t>
  </si>
  <si>
    <t xml:space="preserve">    Community Facilities</t>
  </si>
  <si>
    <t xml:space="preserve">Bus stop, surau, guard house, notice board</t>
  </si>
  <si>
    <t xml:space="preserve">3.10</t>
  </si>
  <si>
    <t xml:space="preserve">    Development Contribution (PBT)</t>
  </si>
  <si>
    <t xml:space="preserve">Cash contribution to local authority per DA</t>
  </si>
  <si>
    <t xml:space="preserve">3.11</t>
  </si>
  <si>
    <t xml:space="preserve">    Low-Cost Housing (in-situ build)</t>
  </si>
  <si>
    <t xml:space="preserve">If required by state; cost minus controlled price revenue</t>
  </si>
  <si>
    <t xml:space="preserve">3.12</t>
  </si>
  <si>
    <t xml:space="preserve">    Contingency (Infrastructure)</t>
  </si>
  <si>
    <t xml:space="preserve">5% for scope creep in infra works</t>
  </si>
  <si>
    <t xml:space="preserve">PILLAR 3 TOTAL — Infrastructure + Statutory</t>
  </si>
  <si>
    <t xml:space="preserve">P4</t>
  </si>
  <si>
    <t xml:space="preserve">PILLAR 4 · PROFESSIONAL FEES</t>
  </si>
  <si>
    <t xml:space="preserve">Typical: 3–5% of Net GDV</t>
  </si>
  <si>
    <t xml:space="preserve">4.1</t>
  </si>
  <si>
    <t xml:space="preserve">    Architect — Design &amp; Supervision</t>
  </si>
  <si>
    <t xml:space="preserve">~4% of construction cost (PAM scale)</t>
  </si>
  <si>
    <t xml:space="preserve">4.2</t>
  </si>
  <si>
    <t xml:space="preserve">    Structural Engineer</t>
  </si>
  <si>
    <t xml:space="preserve">~1.5% of C&amp;S cost</t>
  </si>
  <si>
    <t xml:space="preserve">4.3</t>
  </si>
  <si>
    <t xml:space="preserve">    M&amp;E Engineer</t>
  </si>
  <si>
    <t xml:space="preserve">~1.5% of M&amp;E cost</t>
  </si>
  <si>
    <t xml:space="preserve">4.4</t>
  </si>
  <si>
    <t xml:space="preserve">    Quantity Surveyor (QS)</t>
  </si>
  <si>
    <t xml:space="preserve">~1% of construction cost</t>
  </si>
  <si>
    <t xml:space="preserve">4.5</t>
  </si>
  <si>
    <t xml:space="preserve">    Land Surveyor (Boundary &amp; Strata)</t>
  </si>
  <si>
    <t xml:space="preserve">Boundary + strata survey; ~RM 2k/acre indicative</t>
  </si>
  <si>
    <t xml:space="preserve">4.6</t>
  </si>
  <si>
    <t xml:space="preserve">    Town Planner / Planning Consultant</t>
  </si>
  <si>
    <t xml:space="preserve">DA submission, OSC liaison</t>
  </si>
  <si>
    <t xml:space="preserve">4.7</t>
  </si>
  <si>
    <t xml:space="preserve">    Geotechnical / Soil Investigation</t>
  </si>
  <si>
    <t xml:space="preserve">Soil borings, lab tests; mandatory pre-piling</t>
  </si>
  <si>
    <t xml:space="preserve">4.8</t>
  </si>
  <si>
    <t xml:space="preserve">    Civil / Traffic Engineer</t>
  </si>
  <si>
    <t xml:space="preserve">Traffic impact assessment, road design</t>
  </si>
  <si>
    <t xml:space="preserve">4.9</t>
  </si>
  <si>
    <t xml:space="preserve">    Legal (SPA, APDL, Strata Title)</t>
  </si>
  <si>
    <t xml:space="preserve">Solicitor fees for all project-related legal work</t>
  </si>
  <si>
    <t xml:space="preserve">4.10</t>
  </si>
  <si>
    <t xml:space="preserve">    Project Management Consultancy</t>
  </si>
  <si>
    <t xml:space="preserve">If external PM engaged; internal cost in P5</t>
  </si>
  <si>
    <t xml:space="preserve">PILLAR 4 TOTAL — Professional Fees</t>
  </si>
  <si>
    <t xml:space="preserve">P5</t>
  </si>
  <si>
    <t xml:space="preserve">PILLAR 5 · FINANCE COST + MARKETING</t>
  </si>
  <si>
    <t xml:space="preserve">Typical: 6–10% of Net GDV</t>
  </si>
  <si>
    <t xml:space="preserve">5.1</t>
  </si>
  <si>
    <t xml:space="preserve">    Bridging Loan — Interest (IDC)</t>
  </si>
  <si>
    <t xml:space="preserve">Based on avg drawdown × rate × period; see IDC tab</t>
  </si>
  <si>
    <t xml:space="preserve">5.2</t>
  </si>
  <si>
    <t xml:space="preserve">    Bridging Loan — Arrangement Fee</t>
  </si>
  <si>
    <t xml:space="preserve">~0.5% of loan facility</t>
  </si>
  <si>
    <t xml:space="preserve">5.3</t>
  </si>
  <si>
    <t xml:space="preserve">    Bridging Loan — Legal &amp; Valuation</t>
  </si>
  <si>
    <t xml:space="preserve">Bank-appointed solicitor + valuer</t>
  </si>
  <si>
    <t xml:space="preserve">5.4</t>
  </si>
  <si>
    <t xml:space="preserve">    End-Financing Panel Setup</t>
  </si>
  <si>
    <t xml:space="preserve">Agreement with buyer-financing banks</t>
  </si>
  <si>
    <t xml:space="preserve">5.5</t>
  </si>
  <si>
    <t xml:space="preserve">    Sales Gallery — Build &amp; Fitout</t>
  </si>
  <si>
    <t xml:space="preserve">Construction + interior; amortised over project life</t>
  </si>
  <si>
    <t xml:space="preserve">5.6</t>
  </si>
  <si>
    <t xml:space="preserve">    Show Units (2–3 units)</t>
  </si>
  <si>
    <t xml:space="preserve">Full furnished show units; not for sale</t>
  </si>
  <si>
    <t xml:space="preserve">5.7</t>
  </si>
  <si>
    <t xml:space="preserve">    Digital &amp; Print Marketing</t>
  </si>
  <si>
    <t xml:space="preserve">Website, launches, billboards, brochures</t>
  </si>
  <si>
    <t xml:space="preserve">5.8</t>
  </si>
  <si>
    <t xml:space="preserve">    Agent Commission</t>
  </si>
  <si>
    <t xml:space="preserve">~2.5% of Net GDV; negotiable</t>
  </si>
  <si>
    <t xml:space="preserve">5.9</t>
  </si>
  <si>
    <t xml:space="preserve">    APDL &amp; Developer Licence Fees</t>
  </si>
  <si>
    <t xml:space="preserve">HDA licence + APDL stamp fees</t>
  </si>
  <si>
    <t xml:space="preserve">5.10</t>
  </si>
  <si>
    <t xml:space="preserve">    Project Management (Internal)</t>
  </si>
  <si>
    <t xml:space="preserve">Internal PM team salary allocation to project</t>
  </si>
  <si>
    <t xml:space="preserve">5.11</t>
  </si>
  <si>
    <t xml:space="preserve">    Insurance (CAR, PI, Public Liab)</t>
  </si>
  <si>
    <t xml:space="preserve">~0.6% of construction cost</t>
  </si>
  <si>
    <t xml:space="preserve">5.12</t>
  </si>
  <si>
    <t xml:space="preserve">    Performance Bond (cost of bond)</t>
  </si>
  <si>
    <t xml:space="preserve">Bank charge for 5% perf bond ~12% p.a.</t>
  </si>
  <si>
    <t xml:space="preserve">PILLAR 5 TOTAL — Finance + Marketing</t>
  </si>
  <si>
    <t xml:space="preserve">GDC</t>
  </si>
  <si>
    <t xml:space="preserve">GROSS DEVELOPMENT COST (GDC)</t>
  </si>
  <si>
    <t xml:space="preserve">Net GDV (from INPUT)</t>
  </si>
  <si>
    <t xml:space="preserve">PBT</t>
  </si>
  <si>
    <t xml:space="preserve">PROFIT BEFORE TAX  (Net GDV − GDC)</t>
  </si>
  <si>
    <t xml:space="preserve">PROJECT P&amp;L SUMMARY  —  Feasibility vs Actual</t>
  </si>
  <si>
    <t xml:space="preserve">Item</t>
  </si>
  <si>
    <t xml:space="preserve">Var (RM)</t>
  </si>
  <si>
    <t xml:space="preserve">Budget %GDV</t>
  </si>
  <si>
    <t xml:space="preserve">P1 · Land Cost</t>
  </si>
  <si>
    <t xml:space="preserve">P2 · Construction</t>
  </si>
  <si>
    <t xml:space="preserve">P3 · Infra + Stat</t>
  </si>
  <si>
    <t xml:space="preserve">P4 · Professional</t>
  </si>
  <si>
    <t xml:space="preserve">P5 · Finance + Mkt</t>
  </si>
  <si>
    <t xml:space="preserve">GROSS DEV COST</t>
  </si>
  <si>
    <t xml:space="preserve">PROFIT BEFORE TAX</t>
  </si>
  <si>
    <t xml:space="preserve">INDUSTRY PSF BENCHMARK  (RM psf on GFA basis)  |  Source: JUBM &amp; Langdon Seah / Market Norms</t>
  </si>
  <si>
    <t xml:space="preserve">Low (RM psf)</t>
  </si>
  <si>
    <t xml:space="preserve">Mid (RM psf)</t>
  </si>
  <si>
    <t xml:space="preserve">High (RM psf)</t>
  </si>
  <si>
    <t xml:space="preserve">Notes</t>
  </si>
  <si>
    <t xml:space="preserve">CONSTRUCTION COST (psf GFA)</t>
  </si>
  <si>
    <t xml:space="preserve">  High-rise Resi (≥20 floors)</t>
  </si>
  <si>
    <t xml:space="preserve">RC frame, standard finishes</t>
  </si>
  <si>
    <t xml:space="preserve">  High-rise Resi (luxury)</t>
  </si>
  <si>
    <t xml:space="preserve">High-spec, imported finishes</t>
  </si>
  <si>
    <t xml:space="preserve">  Mid-rise Resi (5–19 floors)</t>
  </si>
  <si>
    <t xml:space="preserve">RC / steel hybrid</t>
  </si>
  <si>
    <t xml:space="preserve">  Landed Terraced (2-sty)</t>
  </si>
  <si>
    <t xml:space="preserve">Brick &amp; beam, standard spec</t>
  </si>
  <si>
    <t xml:space="preserve">  Retail / Shop Lot</t>
  </si>
  <si>
    <t xml:space="preserve">Incl M&amp;E; higher loadings</t>
  </si>
  <si>
    <t xml:space="preserve">  Industrial / Warehouse</t>
  </si>
  <si>
    <t xml:space="preserve">Steel portal frame</t>
  </si>
  <si>
    <t xml:space="preserve">  Basement Car Park (per bay)</t>
  </si>
  <si>
    <t xml:space="preserve">RM per bay (not psf)</t>
  </si>
  <si>
    <t xml:space="preserve">PILLAR COST as % of Net GDV</t>
  </si>
  <si>
    <t xml:space="preserve">  P1 · Land Cost</t>
  </si>
  <si>
    <t xml:space="preserve">15%</t>
  </si>
  <si>
    <t xml:space="preserve">20%</t>
  </si>
  <si>
    <t xml:space="preserve">25%</t>
  </si>
  <si>
    <t xml:space="preserve">City fringe 20–30%+</t>
  </si>
  <si>
    <t xml:space="preserve">  P2 · Construction Cost</t>
  </si>
  <si>
    <t xml:space="preserve">42%</t>
  </si>
  <si>
    <t xml:space="preserve">47%</t>
  </si>
  <si>
    <t xml:space="preserve">52%</t>
  </si>
  <si>
    <t xml:space="preserve">Main driver of GDC</t>
  </si>
  <si>
    <t xml:space="preserve">  P3 · Infra + Statutory</t>
  </si>
  <si>
    <t xml:space="preserve">8%</t>
  </si>
  <si>
    <t xml:space="preserve">11%</t>
  </si>
  <si>
    <t xml:space="preserve">Varies widely by DA conditions</t>
  </si>
  <si>
    <t xml:space="preserve">  P4 · Professional Fees</t>
  </si>
  <si>
    <t xml:space="preserve">3%</t>
  </si>
  <si>
    <t xml:space="preserve">4%</t>
  </si>
  <si>
    <t xml:space="preserve">5%</t>
  </si>
  <si>
    <t xml:space="preserve">Partially internalised by large devs</t>
  </si>
  <si>
    <t xml:space="preserve">  P5 · Finance + Marketing</t>
  </si>
  <si>
    <t xml:space="preserve">6%</t>
  </si>
  <si>
    <t xml:space="preserve">10%</t>
  </si>
  <si>
    <t xml:space="preserve">IDC biggest variable</t>
  </si>
  <si>
    <t xml:space="preserve">  TOTAL GDC</t>
  </si>
  <si>
    <t xml:space="preserve">74%</t>
  </si>
  <si>
    <t xml:space="preserve">80%</t>
  </si>
  <si>
    <t xml:space="preserve">87%</t>
  </si>
  <si>
    <t xml:space="preserve">→ Net margin 13–26%</t>
  </si>
  <si>
    <t xml:space="preserve">EFFICIENCY RATIO (GFA → NFA)</t>
  </si>
  <si>
    <t xml:space="preserve">  High-rise Residential</t>
  </si>
  <si>
    <t xml:space="preserve">72%</t>
  </si>
  <si>
    <t xml:space="preserve">78%</t>
  </si>
  <si>
    <t xml:space="preserve">82%</t>
  </si>
  <si>
    <t xml:space="preserve">Cruciform core design ~72%; efficient ~80%+</t>
  </si>
  <si>
    <t xml:space="preserve">  Serviced Apartment / SOHO</t>
  </si>
  <si>
    <t xml:space="preserve">68%</t>
  </si>
  <si>
    <t xml:space="preserve">73%</t>
  </si>
  <si>
    <t xml:space="preserve">76%</t>
  </si>
  <si>
    <t xml:space="preserve">More common areas reduce efficiency</t>
  </si>
  <si>
    <t xml:space="preserve">  Commercial Office</t>
  </si>
  <si>
    <t xml:space="preserve">70%</t>
  </si>
  <si>
    <t xml:space="preserve">75%</t>
  </si>
  <si>
    <t xml:space="preserve">Open floor plate more efficient</t>
  </si>
  <si>
    <t xml:space="preserve">  Retail Mall</t>
  </si>
  <si>
    <t xml:space="preserve">55%</t>
  </si>
  <si>
    <t xml:space="preserve">62%</t>
  </si>
  <si>
    <t xml:space="preserve">Atrium, voids reduce NLA</t>
  </si>
  <si>
    <t xml:space="preserve">PROFESSIONAL FEE SCALE</t>
  </si>
  <si>
    <t xml:space="preserve">  Architect (PAM scale)</t>
  </si>
  <si>
    <t xml:space="preserve">2.5%</t>
  </si>
  <si>
    <t xml:space="preserve">3.5%</t>
  </si>
  <si>
    <t xml:space="preserve">4.5%</t>
  </si>
  <si>
    <t xml:space="preserve">% of construction cost</t>
  </si>
  <si>
    <t xml:space="preserve">  Structural Engineer</t>
  </si>
  <si>
    <t xml:space="preserve">1.0%</t>
  </si>
  <si>
    <t xml:space="preserve">1.3%</t>
  </si>
  <si>
    <t xml:space="preserve">1.8%</t>
  </si>
  <si>
    <t xml:space="preserve">% of C&amp;S cost</t>
  </si>
  <si>
    <t xml:space="preserve">  M&amp;E Engineer</t>
  </si>
  <si>
    <t xml:space="preserve">% of M&amp;E cost</t>
  </si>
  <si>
    <t xml:space="preserve">  QS</t>
  </si>
  <si>
    <t xml:space="preserve">0.8%</t>
  </si>
  <si>
    <t xml:space="preserve">1.2%</t>
  </si>
  <si>
    <t xml:space="preserve">FINANCE COST INDICATORS</t>
  </si>
  <si>
    <t xml:space="preserve">  Bridging Loan Rate (floating)</t>
  </si>
  <si>
    <t xml:space="preserve">BLR+0.5%</t>
  </si>
  <si>
    <t xml:space="preserve">BLR+1.0%</t>
  </si>
  <si>
    <t xml:space="preserve">BLR+2.0%</t>
  </si>
  <si>
    <t xml:space="preserve">BLR = 6.85% (Jun 2025)</t>
  </si>
  <si>
    <t xml:space="preserve">  Bridging Loan LTV</t>
  </si>
  <si>
    <t xml:space="preserve">65%</t>
  </si>
  <si>
    <t xml:space="preserve">% of GDV (bank-dependent)</t>
  </si>
  <si>
    <t xml:space="preserve">  Agent Commission (Net GDV)</t>
  </si>
  <si>
    <t xml:space="preserve">2.0%</t>
  </si>
  <si>
    <t xml:space="preserve">Exclusive/non-exclusive</t>
  </si>
  <si>
    <t xml:space="preserve">  Performance Bond cost</t>
  </si>
  <si>
    <t xml:space="preserve">0.3%</t>
  </si>
  <si>
    <t xml:space="preserve">0.5%</t>
  </si>
  <si>
    <t xml:space="preserve">Bank charge on 5% bond p.a.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</si>
</sst>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#,##0;\(#,##0\);\-"/>
    <numFmt numFmtId="168" formatCode="#,##0.00;\(#,##0.00\);\-"/>
    <numFmt numFmtId="169" formatCode="0.0%;\(0.0%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F6E56"/>
      <name val="Arial"/>
      <family val="0"/>
      <charset val="1"/>
    </font>
    <font>
      <sz val="10"/>
      <color rgb="FF854F0B"/>
      <name val="Arial"/>
      <family val="0"/>
      <charset val="1"/>
    </font>
    <font>
      <sz val="10"/>
      <color rgb="FF993C1D"/>
      <name val="Arial"/>
      <family val="0"/>
      <charset val="1"/>
    </font>
    <font>
      <sz val="10"/>
      <color rgb="FF534AB7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77777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0F6E56"/>
        <bgColor rgb="FF008080"/>
      </patternFill>
    </fill>
    <fill>
      <patternFill patternType="solid">
        <fgColor rgb="FF185FA5"/>
        <bgColor rgb="FF0F6E56"/>
      </patternFill>
    </fill>
    <fill>
      <patternFill patternType="solid">
        <fgColor rgb="FFE1F5EE"/>
        <bgColor rgb="FFE6F1FB"/>
      </patternFill>
    </fill>
    <fill>
      <patternFill patternType="solid">
        <fgColor rgb="FFF7F7F7"/>
        <bgColor rgb="FFFFFFFF"/>
      </patternFill>
    </fill>
    <fill>
      <patternFill patternType="solid">
        <fgColor rgb="FF854F0B"/>
        <bgColor rgb="FF993C1D"/>
      </patternFill>
    </fill>
    <fill>
      <patternFill patternType="solid">
        <fgColor rgb="FFFAEEDA"/>
        <bgColor rgb="FFFAECE7"/>
      </patternFill>
    </fill>
    <fill>
      <patternFill patternType="solid">
        <fgColor rgb="FF993C1D"/>
        <bgColor rgb="FF854F0B"/>
      </patternFill>
    </fill>
    <fill>
      <patternFill patternType="solid">
        <fgColor rgb="FFFAECE7"/>
        <bgColor rgb="FFFAEEDA"/>
      </patternFill>
    </fill>
    <fill>
      <patternFill patternType="solid">
        <fgColor rgb="FF534AB7"/>
        <bgColor rgb="FF666666"/>
      </patternFill>
    </fill>
    <fill>
      <patternFill patternType="solid">
        <fgColor rgb="FFEEEDF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D6DCE8"/>
        <bgColor rgb="FFD0D0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D0D0D0"/>
      <rgbColor rgb="FF888888"/>
      <rgbColor rgb="FF9999FF"/>
      <rgbColor rgb="FF993366"/>
      <rgbColor rgb="FFFAEEDA"/>
      <rgbColor rgb="FFE1F5EE"/>
      <rgbColor rgb="FF660066"/>
      <rgbColor rgb="FFFF8080"/>
      <rgbColor rgb="FF185FA5"/>
      <rgbColor rgb="FFD6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7F7F7"/>
      <rgbColor rgb="FFFAECE7"/>
      <rgbColor rgb="FF99CCFF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003366"/>
      <rgbColor rgb="FF339966"/>
      <rgbColor rgb="FF003300"/>
      <rgbColor rgb="FF222222"/>
      <rgbColor rgb="FF993C1D"/>
      <rgbColor rgb="FF993366"/>
      <rgbColor rgb="FF534AB7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8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8" hidden="false" customHeight="true" outlineLevel="0" collapsed="false">
      <c r="A5" s="5" t="s">
        <v>3</v>
      </c>
      <c r="B5" s="6" t="s">
        <v>4</v>
      </c>
      <c r="C5" s="7"/>
      <c r="D5" s="8" t="s">
        <v>5</v>
      </c>
    </row>
    <row r="6" customFormat="false" ht="18" hidden="false" customHeight="true" outlineLevel="0" collapsed="false">
      <c r="A6" s="5" t="s">
        <v>6</v>
      </c>
      <c r="B6" s="6" t="s">
        <v>7</v>
      </c>
      <c r="C6" s="7"/>
      <c r="D6" s="8" t="s">
        <v>8</v>
      </c>
    </row>
    <row r="7" customFormat="false" ht="18" hidden="false" customHeight="true" outlineLevel="0" collapsed="false">
      <c r="A7" s="5" t="s">
        <v>9</v>
      </c>
      <c r="B7" s="6" t="s">
        <v>10</v>
      </c>
      <c r="C7" s="7"/>
      <c r="D7" s="8" t="s">
        <v>11</v>
      </c>
    </row>
    <row r="8" customFormat="false" ht="18" hidden="false" customHeight="true" outlineLevel="0" collapsed="false">
      <c r="A8" s="5" t="s">
        <v>12</v>
      </c>
      <c r="B8" s="6" t="s">
        <v>13</v>
      </c>
      <c r="C8" s="7"/>
      <c r="D8" s="8" t="s">
        <v>14</v>
      </c>
    </row>
    <row r="9" customFormat="false" ht="18" hidden="false" customHeight="true" outlineLevel="0" collapsed="false">
      <c r="A9" s="5" t="s">
        <v>15</v>
      </c>
      <c r="B9" s="6" t="s">
        <v>16</v>
      </c>
      <c r="C9" s="7"/>
      <c r="D9" s="8" t="s">
        <v>17</v>
      </c>
    </row>
    <row r="10" customFormat="false" ht="18" hidden="false" customHeight="true" outlineLevel="0" collapsed="false">
      <c r="A10" s="5" t="s">
        <v>18</v>
      </c>
      <c r="B10" s="6" t="n">
        <v>30</v>
      </c>
      <c r="C10" s="7" t="s">
        <v>19</v>
      </c>
      <c r="D10" s="8" t="s">
        <v>20</v>
      </c>
    </row>
    <row r="11" customFormat="false" ht="18" hidden="false" customHeight="true" outlineLevel="0" collapsed="false"/>
    <row r="12" customFormat="false" ht="18" hidden="false" customHeight="true" outlineLevel="0" collapsed="false">
      <c r="A12" s="9" t="s">
        <v>21</v>
      </c>
      <c r="B12" s="9"/>
      <c r="C12" s="9"/>
      <c r="D12" s="9"/>
    </row>
    <row r="13" customFormat="false" ht="18" hidden="false" customHeight="true" outlineLevel="0" collapsed="false">
      <c r="A13" s="5" t="s">
        <v>22</v>
      </c>
      <c r="B13" s="6" t="n">
        <v>10</v>
      </c>
      <c r="C13" s="7" t="s">
        <v>23</v>
      </c>
      <c r="D13" s="8" t="s">
        <v>24</v>
      </c>
    </row>
    <row r="14" customFormat="false" ht="18" hidden="false" customHeight="true" outlineLevel="0" collapsed="false">
      <c r="A14" s="5" t="s">
        <v>25</v>
      </c>
      <c r="B14" s="6" t="n">
        <v>0.75</v>
      </c>
      <c r="C14" s="7" t="s">
        <v>26</v>
      </c>
      <c r="D14" s="8" t="s">
        <v>27</v>
      </c>
    </row>
    <row r="15" customFormat="false" ht="18" hidden="false" customHeight="true" outlineLevel="0" collapsed="false">
      <c r="A15" s="5" t="s">
        <v>28</v>
      </c>
      <c r="B15" s="10" t="n">
        <f aca="false">B13*B14</f>
        <v>7.5</v>
      </c>
      <c r="C15" s="11" t="s">
        <v>23</v>
      </c>
      <c r="D15" s="12" t="s">
        <v>29</v>
      </c>
    </row>
    <row r="16" customFormat="false" ht="18" hidden="false" customHeight="true" outlineLevel="0" collapsed="false">
      <c r="A16" s="5" t="s">
        <v>30</v>
      </c>
      <c r="B16" s="6" t="n">
        <v>3.5</v>
      </c>
      <c r="C16" s="7"/>
      <c r="D16" s="8" t="s">
        <v>31</v>
      </c>
    </row>
    <row r="17" customFormat="false" ht="18" hidden="false" customHeight="true" outlineLevel="0" collapsed="false">
      <c r="A17" s="5" t="s">
        <v>32</v>
      </c>
      <c r="B17" s="13" t="n">
        <f aca="false">B15*43560*B16</f>
        <v>1143450</v>
      </c>
      <c r="C17" s="11" t="s">
        <v>33</v>
      </c>
      <c r="D17" s="12" t="s">
        <v>34</v>
      </c>
    </row>
    <row r="18" customFormat="false" ht="18" hidden="false" customHeight="true" outlineLevel="0" collapsed="false">
      <c r="A18" s="5" t="s">
        <v>35</v>
      </c>
      <c r="B18" s="6" t="n">
        <v>0.78</v>
      </c>
      <c r="C18" s="7" t="s">
        <v>26</v>
      </c>
      <c r="D18" s="8" t="s">
        <v>36</v>
      </c>
    </row>
    <row r="19" customFormat="false" ht="18" hidden="false" customHeight="true" outlineLevel="0" collapsed="false">
      <c r="A19" s="5" t="s">
        <v>37</v>
      </c>
      <c r="B19" s="13" t="n">
        <f aca="false">B17*B18</f>
        <v>891891</v>
      </c>
      <c r="C19" s="11" t="s">
        <v>33</v>
      </c>
      <c r="D19" s="12" t="s">
        <v>38</v>
      </c>
    </row>
    <row r="20" customFormat="false" ht="18" hidden="false" customHeight="true" outlineLevel="0" collapsed="false">
      <c r="A20" s="5" t="s">
        <v>39</v>
      </c>
      <c r="B20" s="6" t="n">
        <v>900</v>
      </c>
      <c r="C20" s="7" t="s">
        <v>33</v>
      </c>
      <c r="D20" s="8" t="s">
        <v>40</v>
      </c>
    </row>
    <row r="21" customFormat="false" ht="18" hidden="false" customHeight="true" outlineLevel="0" collapsed="false">
      <c r="A21" s="5" t="s">
        <v>41</v>
      </c>
      <c r="B21" s="13" t="n">
        <f aca="false">ROUND(B19/B20,0)</f>
        <v>991</v>
      </c>
      <c r="C21" s="11" t="s">
        <v>42</v>
      </c>
      <c r="D21" s="12" t="s">
        <v>43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14" t="s">
        <v>44</v>
      </c>
      <c r="B23" s="14"/>
      <c r="C23" s="14"/>
      <c r="D23" s="14"/>
    </row>
    <row r="24" customFormat="false" ht="18" hidden="false" customHeight="true" outlineLevel="0" collapsed="false">
      <c r="A24" s="5" t="s">
        <v>45</v>
      </c>
      <c r="B24" s="6" t="n">
        <v>650</v>
      </c>
      <c r="C24" s="7" t="s">
        <v>46</v>
      </c>
      <c r="D24" s="8" t="s">
        <v>47</v>
      </c>
    </row>
    <row r="25" customFormat="false" ht="18" hidden="false" customHeight="true" outlineLevel="0" collapsed="false">
      <c r="A25" s="5" t="s">
        <v>48</v>
      </c>
      <c r="B25" s="6" t="n">
        <v>0.3</v>
      </c>
      <c r="C25" s="7" t="s">
        <v>26</v>
      </c>
      <c r="D25" s="8" t="s">
        <v>49</v>
      </c>
    </row>
    <row r="26" customFormat="false" ht="18" hidden="false" customHeight="true" outlineLevel="0" collapsed="false">
      <c r="A26" s="5" t="s">
        <v>50</v>
      </c>
      <c r="B26" s="6" t="n">
        <v>0.07</v>
      </c>
      <c r="C26" s="7" t="s">
        <v>26</v>
      </c>
      <c r="D26" s="8" t="s">
        <v>51</v>
      </c>
    </row>
    <row r="27" customFormat="false" ht="18" hidden="false" customHeight="true" outlineLevel="0" collapsed="false">
      <c r="A27" s="5" t="s">
        <v>52</v>
      </c>
      <c r="B27" s="6" t="n">
        <v>0.1</v>
      </c>
      <c r="C27" s="7" t="s">
        <v>26</v>
      </c>
      <c r="D27" s="8" t="s">
        <v>53</v>
      </c>
    </row>
    <row r="28" customFormat="false" ht="18" hidden="false" customHeight="true" outlineLevel="0" collapsed="false">
      <c r="A28" s="5" t="s">
        <v>54</v>
      </c>
      <c r="B28" s="6" t="n">
        <v>42000</v>
      </c>
      <c r="C28" s="7" t="s">
        <v>55</v>
      </c>
      <c r="D28" s="8" t="s">
        <v>56</v>
      </c>
    </row>
    <row r="29" customFormat="false" ht="18" hidden="false" customHeight="true" outlineLevel="0" collapsed="false">
      <c r="A29" s="5" t="s">
        <v>57</v>
      </c>
      <c r="B29" s="6" t="n">
        <v>120</v>
      </c>
      <c r="C29" s="7" t="s">
        <v>58</v>
      </c>
      <c r="D29" s="8" t="s">
        <v>59</v>
      </c>
    </row>
    <row r="30" customFormat="false" ht="18" hidden="false" customHeight="true" outlineLevel="0" collapsed="false">
      <c r="A30" s="5" t="s">
        <v>60</v>
      </c>
      <c r="B30" s="6" t="n">
        <v>45000</v>
      </c>
      <c r="C30" s="7" t="s">
        <v>61</v>
      </c>
      <c r="D30" s="8" t="s">
        <v>62</v>
      </c>
    </row>
    <row r="31" customFormat="false" ht="18" hidden="false" customHeight="true" outlineLevel="0" collapsed="false"/>
    <row r="32" customFormat="false" ht="18" hidden="false" customHeight="true" outlineLevel="0" collapsed="false">
      <c r="A32" s="5" t="s">
        <v>63</v>
      </c>
      <c r="B32" s="15" t="n">
        <f aca="false">INPUT!B19*INPUT!B24</f>
        <v>579729150</v>
      </c>
      <c r="C32" s="11" t="s">
        <v>64</v>
      </c>
      <c r="D32" s="16" t="s">
        <v>65</v>
      </c>
    </row>
    <row r="33" customFormat="false" ht="18" hidden="false" customHeight="true" outlineLevel="0" collapsed="false">
      <c r="A33" s="5" t="s">
        <v>66</v>
      </c>
      <c r="B33" s="15" t="n">
        <f aca="false">-(INPUT!B19*INPUT!B25*INPUT!B24*INPUT!B26)</f>
        <v>-12174312.15</v>
      </c>
      <c r="C33" s="11" t="s">
        <v>64</v>
      </c>
      <c r="D33" s="16" t="s">
        <v>67</v>
      </c>
    </row>
    <row r="34" customFormat="false" ht="18" hidden="false" customHeight="true" outlineLevel="0" collapsed="false">
      <c r="A34" s="5" t="s">
        <v>68</v>
      </c>
      <c r="B34" s="15" t="n">
        <f aca="false">-(INPUT!B21*INPUT!B27*(INPUT!B24*INPUT!B20 - INPUT!B28))</f>
        <v>-53811300</v>
      </c>
      <c r="C34" s="11" t="s">
        <v>64</v>
      </c>
      <c r="D34" s="16" t="s">
        <v>69</v>
      </c>
    </row>
    <row r="35" customFormat="false" ht="18" hidden="false" customHeight="true" outlineLevel="0" collapsed="false">
      <c r="A35" s="5" t="s">
        <v>70</v>
      </c>
      <c r="B35" s="15" t="n">
        <f aca="false">INPUT!B29*INPUT!B30</f>
        <v>5400000</v>
      </c>
      <c r="C35" s="11" t="s">
        <v>64</v>
      </c>
      <c r="D35" s="16" t="s">
        <v>71</v>
      </c>
    </row>
    <row r="36" customFormat="false" ht="18" hidden="false" customHeight="true" outlineLevel="0" collapsed="false">
      <c r="A36" s="17"/>
      <c r="B36" s="17"/>
      <c r="C36" s="17"/>
      <c r="D36" s="17"/>
    </row>
    <row r="37" customFormat="false" ht="18" hidden="false" customHeight="true" outlineLevel="0" collapsed="false">
      <c r="A37" s="18" t="s">
        <v>72</v>
      </c>
      <c r="B37" s="19" t="n">
        <f aca="false">SUM(B32:B35)</f>
        <v>519143537.85</v>
      </c>
      <c r="C37" s="20" t="s">
        <v>64</v>
      </c>
      <c r="D37" s="21" t="s">
        <v>73</v>
      </c>
    </row>
  </sheetData>
  <mergeCells count="6">
    <mergeCell ref="A1:D1"/>
    <mergeCell ref="A2:D2"/>
    <mergeCell ref="A4:D4"/>
    <mergeCell ref="A12:D12"/>
    <mergeCell ref="A23:D23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4" min="3" style="1" width="16"/>
    <col collapsed="false" customWidth="true" hidden="false" outlineLevel="0" max="8" min="5" style="1" width="13"/>
    <col collapsed="false" customWidth="true" hidden="false" outlineLevel="0" max="9" min="9" style="1" width="22"/>
  </cols>
  <sheetData>
    <row r="1" customFormat="false" ht="24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75</v>
      </c>
      <c r="B2" s="3"/>
      <c r="C2" s="3"/>
      <c r="D2" s="3"/>
      <c r="E2" s="3"/>
      <c r="F2" s="3"/>
      <c r="G2" s="3"/>
      <c r="H2" s="3"/>
      <c r="I2" s="3"/>
    </row>
    <row r="3" customFormat="false" ht="31.5" hidden="false" customHeight="true" outlineLevel="0" collapsed="false">
      <c r="A3" s="22" t="s">
        <v>76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  <c r="G3" s="22" t="s">
        <v>82</v>
      </c>
      <c r="H3" s="22" t="s">
        <v>83</v>
      </c>
      <c r="I3" s="22" t="s">
        <v>84</v>
      </c>
    </row>
    <row r="5" customFormat="false" ht="21.75" hidden="false" customHeight="true" outlineLevel="0" collapsed="false">
      <c r="A5" s="23" t="s">
        <v>85</v>
      </c>
      <c r="B5" s="9" t="s">
        <v>86</v>
      </c>
      <c r="C5" s="9"/>
      <c r="D5" s="9"/>
      <c r="E5" s="24"/>
      <c r="F5" s="24"/>
      <c r="G5" s="24"/>
      <c r="H5" s="24"/>
      <c r="I5" s="25" t="s">
        <v>87</v>
      </c>
    </row>
    <row r="6" customFormat="false" ht="18" hidden="false" customHeight="true" outlineLevel="0" collapsed="false">
      <c r="A6" s="26" t="s">
        <v>88</v>
      </c>
      <c r="B6" s="27" t="s">
        <v>89</v>
      </c>
      <c r="C6" s="28" t="n">
        <v>18000000</v>
      </c>
      <c r="D6" s="28" t="n">
        <v>18000000</v>
      </c>
      <c r="E6" s="28" t="n">
        <v>18000000</v>
      </c>
      <c r="F6" s="29" t="n">
        <f aca="false">C6-E6</f>
        <v>0</v>
      </c>
      <c r="G6" s="30" t="n">
        <f aca="false">IFERROR(C6/INPUT!$B$19,0)</f>
        <v>20.1818383636565</v>
      </c>
      <c r="H6" s="30" t="n">
        <f aca="false">IFERROR(E6/INPUT!$B$19,0)</f>
        <v>20.1818383636565</v>
      </c>
      <c r="I6" s="31" t="s">
        <v>90</v>
      </c>
    </row>
    <row r="7" customFormat="false" ht="18" hidden="false" customHeight="true" outlineLevel="0" collapsed="false">
      <c r="A7" s="26" t="s">
        <v>91</v>
      </c>
      <c r="B7" s="27" t="s">
        <v>92</v>
      </c>
      <c r="C7" s="29" t="n">
        <f aca="false">IFERROR(IF(C6&lt;=100000,C6*0.01,IF(C6&lt;=500000,1000+(C6-100000)*0.02,IF(C6&lt;=1000000,9000+(C6-500000)*0.03,24000+(C6-1000000)*0.04))),0)</f>
        <v>704000</v>
      </c>
      <c r="D7" s="28" t="n">
        <v>0</v>
      </c>
      <c r="E7" s="28" t="n">
        <v>0</v>
      </c>
      <c r="F7" s="29" t="n">
        <f aca="false">C7-E7</f>
        <v>704000</v>
      </c>
      <c r="G7" s="30" t="n">
        <f aca="false">IFERROR(C7/INPUT!$B$19,0)</f>
        <v>0.789334122667456</v>
      </c>
      <c r="H7" s="30" t="n">
        <f aca="false">IFERROR(E7/INPUT!$B$19,0)</f>
        <v>0</v>
      </c>
      <c r="I7" s="31" t="s">
        <v>93</v>
      </c>
    </row>
    <row r="8" customFormat="false" ht="18" hidden="false" customHeight="true" outlineLevel="0" collapsed="false">
      <c r="A8" s="26" t="s">
        <v>94</v>
      </c>
      <c r="B8" s="27" t="s">
        <v>95</v>
      </c>
      <c r="C8" s="29" t="n">
        <f aca="false">C6*0.01</f>
        <v>180000</v>
      </c>
      <c r="D8" s="28" t="n">
        <v>0</v>
      </c>
      <c r="E8" s="28" t="n">
        <v>0</v>
      </c>
      <c r="F8" s="29" t="n">
        <f aca="false">C8-E8</f>
        <v>180000</v>
      </c>
      <c r="G8" s="30" t="n">
        <f aca="false">IFERROR(C8/INPUT!$B$19,0)</f>
        <v>0.201818383636565</v>
      </c>
      <c r="H8" s="30" t="n">
        <f aca="false">IFERROR(E8/INPUT!$B$19,0)</f>
        <v>0</v>
      </c>
      <c r="I8" s="31" t="s">
        <v>96</v>
      </c>
    </row>
    <row r="9" customFormat="false" ht="18" hidden="false" customHeight="true" outlineLevel="0" collapsed="false">
      <c r="A9" s="26" t="s">
        <v>97</v>
      </c>
      <c r="B9" s="27" t="s">
        <v>98</v>
      </c>
      <c r="C9" s="28" t="n">
        <v>1200000</v>
      </c>
      <c r="D9" s="28" t="n">
        <v>0</v>
      </c>
      <c r="E9" s="28" t="n">
        <v>0</v>
      </c>
      <c r="F9" s="29" t="n">
        <f aca="false">C9-E9</f>
        <v>1200000</v>
      </c>
      <c r="G9" s="30" t="n">
        <f aca="false">IFERROR(C9/INPUT!$B$19,0)</f>
        <v>1.34545589091044</v>
      </c>
      <c r="H9" s="30" t="n">
        <f aca="false">IFERROR(E9/INPUT!$B$19,0)</f>
        <v>0</v>
      </c>
      <c r="I9" s="31" t="s">
        <v>99</v>
      </c>
    </row>
    <row r="10" customFormat="false" ht="18" hidden="false" customHeight="true" outlineLevel="0" collapsed="false">
      <c r="A10" s="26" t="s">
        <v>100</v>
      </c>
      <c r="B10" s="27" t="s">
        <v>101</v>
      </c>
      <c r="C10" s="28" t="n">
        <v>15000</v>
      </c>
      <c r="D10" s="28" t="n">
        <v>0</v>
      </c>
      <c r="E10" s="28" t="n">
        <v>0</v>
      </c>
      <c r="F10" s="29" t="n">
        <f aca="false">C10-E10</f>
        <v>15000</v>
      </c>
      <c r="G10" s="30" t="n">
        <f aca="false">IFERROR(C10/INPUT!$B$19,0)</f>
        <v>0.0168181986363805</v>
      </c>
      <c r="H10" s="30" t="n">
        <f aca="false">IFERROR(E10/INPUT!$B$19,0)</f>
        <v>0</v>
      </c>
      <c r="I10" s="31" t="s">
        <v>102</v>
      </c>
    </row>
    <row r="11" customFormat="false" ht="18" hidden="false" customHeight="true" outlineLevel="0" collapsed="false">
      <c r="A11" s="26" t="s">
        <v>103</v>
      </c>
      <c r="B11" s="27" t="s">
        <v>104</v>
      </c>
      <c r="C11" s="29" t="n">
        <f aca="false">C6*0.0025</f>
        <v>45000</v>
      </c>
      <c r="D11" s="28" t="n">
        <v>0</v>
      </c>
      <c r="E11" s="28" t="n">
        <v>0</v>
      </c>
      <c r="F11" s="29" t="n">
        <f aca="false">C11-E11</f>
        <v>45000</v>
      </c>
      <c r="G11" s="30" t="n">
        <f aca="false">IFERROR(C11/INPUT!$B$19,0)</f>
        <v>0.0504545959091414</v>
      </c>
      <c r="H11" s="30" t="n">
        <f aca="false">IFERROR(E11/INPUT!$B$19,0)</f>
        <v>0</v>
      </c>
      <c r="I11" s="31" t="s">
        <v>105</v>
      </c>
    </row>
    <row r="12" customFormat="false" ht="18" hidden="false" customHeight="true" outlineLevel="0" collapsed="false">
      <c r="A12" s="26" t="s">
        <v>106</v>
      </c>
      <c r="B12" s="27" t="s">
        <v>107</v>
      </c>
      <c r="C12" s="28" t="n">
        <v>0</v>
      </c>
      <c r="D12" s="28" t="n">
        <v>0</v>
      </c>
      <c r="E12" s="28" t="n">
        <v>0</v>
      </c>
      <c r="F12" s="29" t="n">
        <f aca="false">C12-E12</f>
        <v>0</v>
      </c>
      <c r="G12" s="30" t="n">
        <f aca="false">IFERROR(C12/INPUT!$B$19,0)</f>
        <v>0</v>
      </c>
      <c r="H12" s="30" t="n">
        <f aca="false">IFERROR(E12/INPUT!$B$19,0)</f>
        <v>0</v>
      </c>
      <c r="I12" s="31" t="s">
        <v>108</v>
      </c>
    </row>
    <row r="13" customFormat="false" ht="18" hidden="false" customHeight="true" outlineLevel="0" collapsed="false">
      <c r="A13" s="26" t="s">
        <v>109</v>
      </c>
      <c r="B13" s="27" t="s">
        <v>110</v>
      </c>
      <c r="C13" s="28" t="n">
        <v>900000</v>
      </c>
      <c r="D13" s="28" t="n">
        <v>0</v>
      </c>
      <c r="E13" s="28" t="n">
        <v>0</v>
      </c>
      <c r="F13" s="29" t="n">
        <f aca="false">C13-E13</f>
        <v>900000</v>
      </c>
      <c r="G13" s="30" t="n">
        <f aca="false">IFERROR(C13/INPUT!$B$19,0)</f>
        <v>1.00909191818283</v>
      </c>
      <c r="H13" s="30" t="n">
        <f aca="false">IFERROR(E13/INPUT!$B$19,0)</f>
        <v>0</v>
      </c>
      <c r="I13" s="31" t="s">
        <v>111</v>
      </c>
    </row>
    <row r="14" customFormat="false" ht="18" hidden="false" customHeight="true" outlineLevel="0" collapsed="false">
      <c r="A14" s="26" t="s">
        <v>112</v>
      </c>
      <c r="B14" s="27" t="s">
        <v>113</v>
      </c>
      <c r="C14" s="29" t="n">
        <f aca="false">SUM(C6:C13)*0.02</f>
        <v>420880</v>
      </c>
      <c r="D14" s="28" t="n">
        <v>0</v>
      </c>
      <c r="E14" s="28" t="n">
        <v>0</v>
      </c>
      <c r="F14" s="29" t="n">
        <f aca="false">C14-E14</f>
        <v>420880</v>
      </c>
      <c r="G14" s="30" t="n">
        <f aca="false">IFERROR(C14/INPUT!$B$19,0)</f>
        <v>0.471896229471987</v>
      </c>
      <c r="H14" s="30" t="n">
        <f aca="false">IFERROR(E14/INPUT!$B$19,0)</f>
        <v>0</v>
      </c>
      <c r="I14" s="31" t="s">
        <v>114</v>
      </c>
    </row>
    <row r="15" customFormat="false" ht="19.5" hidden="false" customHeight="true" outlineLevel="0" collapsed="false">
      <c r="A15" s="24"/>
      <c r="B15" s="32" t="s">
        <v>115</v>
      </c>
      <c r="C15" s="33" t="n">
        <f aca="false">SUM(C6:C14)</f>
        <v>21464880</v>
      </c>
      <c r="D15" s="33" t="n">
        <f aca="false">SUM(D6:D14)</f>
        <v>18000000</v>
      </c>
      <c r="E15" s="33" t="n">
        <f aca="false">SUM(E6:E14)</f>
        <v>18000000</v>
      </c>
      <c r="F15" s="33" t="n">
        <f aca="false">C15-E15</f>
        <v>3464880</v>
      </c>
      <c r="G15" s="34" t="n">
        <f aca="false">IFERROR(C15/INPUT!$B$19,0)</f>
        <v>24.0667077030713</v>
      </c>
      <c r="H15" s="34" t="n">
        <f aca="false">IFERROR(E15/INPUT!$B$19,0)</f>
        <v>20.1818383636565</v>
      </c>
      <c r="I15" s="35" t="n">
        <f aca="false">IFERROR(C15/INPUT!$B$37," ")</f>
        <v>0.0413467151857373</v>
      </c>
    </row>
    <row r="16" customFormat="false" ht="6" hidden="false" customHeight="true" outlineLevel="0" collapsed="false">
      <c r="A16" s="36"/>
      <c r="B16" s="36"/>
      <c r="C16" s="36"/>
      <c r="D16" s="36"/>
      <c r="E16" s="36"/>
      <c r="F16" s="36"/>
      <c r="G16" s="36"/>
      <c r="H16" s="36"/>
      <c r="I16" s="36"/>
    </row>
    <row r="17" customFormat="false" ht="21.75" hidden="false" customHeight="true" outlineLevel="0" collapsed="false">
      <c r="A17" s="37" t="s">
        <v>116</v>
      </c>
      <c r="B17" s="38" t="s">
        <v>117</v>
      </c>
      <c r="C17" s="38"/>
      <c r="D17" s="38"/>
      <c r="E17" s="39"/>
      <c r="F17" s="39"/>
      <c r="G17" s="39"/>
      <c r="H17" s="39"/>
      <c r="I17" s="40" t="s">
        <v>118</v>
      </c>
    </row>
    <row r="18" customFormat="false" ht="18" hidden="false" customHeight="true" outlineLevel="0" collapsed="false">
      <c r="A18" s="41" t="s">
        <v>119</v>
      </c>
      <c r="B18" s="42" t="s">
        <v>120</v>
      </c>
      <c r="C18" s="43" t="n">
        <v>8000000</v>
      </c>
      <c r="D18" s="43" t="n">
        <v>0</v>
      </c>
      <c r="E18" s="43" t="n">
        <v>0</v>
      </c>
      <c r="F18" s="44" t="n">
        <f aca="false">C18-E18</f>
        <v>8000000</v>
      </c>
      <c r="G18" s="45" t="n">
        <f aca="false">IFERROR(C18/INPUT!$B$19,0)</f>
        <v>8.96970593940291</v>
      </c>
      <c r="H18" s="45" t="n">
        <f aca="false">IFERROR(E18/INPUT!$B$19,0)</f>
        <v>0</v>
      </c>
      <c r="I18" s="46" t="s">
        <v>121</v>
      </c>
    </row>
    <row r="19" customFormat="false" ht="18" hidden="false" customHeight="true" outlineLevel="0" collapsed="false">
      <c r="A19" s="41" t="s">
        <v>122</v>
      </c>
      <c r="B19" s="42" t="s">
        <v>123</v>
      </c>
      <c r="C19" s="43" t="n">
        <v>6500000</v>
      </c>
      <c r="D19" s="43" t="n">
        <v>0</v>
      </c>
      <c r="E19" s="43" t="n">
        <v>0</v>
      </c>
      <c r="F19" s="44" t="n">
        <f aca="false">C19-E19</f>
        <v>6500000</v>
      </c>
      <c r="G19" s="45" t="n">
        <f aca="false">IFERROR(C19/INPUT!$B$19,0)</f>
        <v>7.28788607576486</v>
      </c>
      <c r="H19" s="45" t="n">
        <f aca="false">IFERROR(E19/INPUT!$B$19,0)</f>
        <v>0</v>
      </c>
      <c r="I19" s="46" t="s">
        <v>124</v>
      </c>
    </row>
    <row r="20" customFormat="false" ht="18" hidden="false" customHeight="true" outlineLevel="0" collapsed="false">
      <c r="A20" s="41" t="s">
        <v>125</v>
      </c>
      <c r="B20" s="42" t="s">
        <v>126</v>
      </c>
      <c r="C20" s="43" t="n">
        <v>38000000</v>
      </c>
      <c r="D20" s="43" t="n">
        <v>0</v>
      </c>
      <c r="E20" s="43" t="n">
        <v>0</v>
      </c>
      <c r="F20" s="44" t="n">
        <f aca="false">C20-E20</f>
        <v>38000000</v>
      </c>
      <c r="G20" s="45" t="n">
        <f aca="false">IFERROR(C20/INPUT!$B$19,0)</f>
        <v>42.6061032121638</v>
      </c>
      <c r="H20" s="45" t="n">
        <f aca="false">IFERROR(E20/INPUT!$B$19,0)</f>
        <v>0</v>
      </c>
      <c r="I20" s="46" t="s">
        <v>127</v>
      </c>
    </row>
    <row r="21" customFormat="false" ht="18" hidden="false" customHeight="true" outlineLevel="0" collapsed="false">
      <c r="A21" s="41" t="s">
        <v>128</v>
      </c>
      <c r="B21" s="42" t="s">
        <v>129</v>
      </c>
      <c r="C21" s="43" t="n">
        <v>22000000</v>
      </c>
      <c r="D21" s="43" t="n">
        <v>0</v>
      </c>
      <c r="E21" s="43" t="n">
        <v>0</v>
      </c>
      <c r="F21" s="44" t="n">
        <f aca="false">C21-E21</f>
        <v>22000000</v>
      </c>
      <c r="G21" s="45" t="n">
        <f aca="false">IFERROR(C21/INPUT!$B$19,0)</f>
        <v>24.666691333358</v>
      </c>
      <c r="H21" s="45" t="n">
        <f aca="false">IFERROR(E21/INPUT!$B$19,0)</f>
        <v>0</v>
      </c>
      <c r="I21" s="46" t="s">
        <v>130</v>
      </c>
    </row>
    <row r="22" customFormat="false" ht="18" hidden="false" customHeight="true" outlineLevel="0" collapsed="false">
      <c r="A22" s="41" t="s">
        <v>131</v>
      </c>
      <c r="B22" s="42" t="s">
        <v>132</v>
      </c>
      <c r="C22" s="43" t="n">
        <v>9000000</v>
      </c>
      <c r="D22" s="43" t="n">
        <v>0</v>
      </c>
      <c r="E22" s="43" t="n">
        <v>0</v>
      </c>
      <c r="F22" s="44" t="n">
        <f aca="false">C22-E22</f>
        <v>9000000</v>
      </c>
      <c r="G22" s="45" t="n">
        <f aca="false">IFERROR(C22/INPUT!$B$19,0)</f>
        <v>10.0909191818283</v>
      </c>
      <c r="H22" s="45" t="n">
        <f aca="false">IFERROR(E22/INPUT!$B$19,0)</f>
        <v>0</v>
      </c>
      <c r="I22" s="46" t="s">
        <v>133</v>
      </c>
    </row>
    <row r="23" customFormat="false" ht="18" hidden="false" customHeight="true" outlineLevel="0" collapsed="false">
      <c r="A23" s="41" t="s">
        <v>134</v>
      </c>
      <c r="B23" s="42" t="s">
        <v>135</v>
      </c>
      <c r="C23" s="43" t="n">
        <v>7500000</v>
      </c>
      <c r="D23" s="43" t="n">
        <v>0</v>
      </c>
      <c r="E23" s="43" t="n">
        <v>0</v>
      </c>
      <c r="F23" s="44" t="n">
        <f aca="false">C23-E23</f>
        <v>7500000</v>
      </c>
      <c r="G23" s="45" t="n">
        <f aca="false">IFERROR(C23/INPUT!$B$19,0)</f>
        <v>8.40909931819023</v>
      </c>
      <c r="H23" s="45" t="n">
        <f aca="false">IFERROR(E23/INPUT!$B$19,0)</f>
        <v>0</v>
      </c>
      <c r="I23" s="46" t="s">
        <v>136</v>
      </c>
    </row>
    <row r="24" customFormat="false" ht="18" hidden="false" customHeight="true" outlineLevel="0" collapsed="false">
      <c r="A24" s="41" t="s">
        <v>137</v>
      </c>
      <c r="B24" s="42" t="s">
        <v>138</v>
      </c>
      <c r="C24" s="43" t="n">
        <v>4000000</v>
      </c>
      <c r="D24" s="43" t="n">
        <v>0</v>
      </c>
      <c r="E24" s="43" t="n">
        <v>0</v>
      </c>
      <c r="F24" s="44" t="n">
        <f aca="false">C24-E24</f>
        <v>4000000</v>
      </c>
      <c r="G24" s="45" t="n">
        <f aca="false">IFERROR(C24/INPUT!$B$19,0)</f>
        <v>4.48485296970145</v>
      </c>
      <c r="H24" s="45" t="n">
        <f aca="false">IFERROR(E24/INPUT!$B$19,0)</f>
        <v>0</v>
      </c>
      <c r="I24" s="46" t="s">
        <v>139</v>
      </c>
    </row>
    <row r="25" customFormat="false" ht="18" hidden="false" customHeight="true" outlineLevel="0" collapsed="false">
      <c r="A25" s="41" t="s">
        <v>140</v>
      </c>
      <c r="B25" s="42" t="s">
        <v>141</v>
      </c>
      <c r="C25" s="43" t="n">
        <v>2000000</v>
      </c>
      <c r="D25" s="43" t="n">
        <v>0</v>
      </c>
      <c r="E25" s="43" t="n">
        <v>0</v>
      </c>
      <c r="F25" s="44" t="n">
        <f aca="false">C25-E25</f>
        <v>2000000</v>
      </c>
      <c r="G25" s="45" t="n">
        <f aca="false">IFERROR(C25/INPUT!$B$19,0)</f>
        <v>2.24242648485073</v>
      </c>
      <c r="H25" s="45" t="n">
        <f aca="false">IFERROR(E25/INPUT!$B$19,0)</f>
        <v>0</v>
      </c>
      <c r="I25" s="46" t="s">
        <v>142</v>
      </c>
    </row>
    <row r="26" customFormat="false" ht="18" hidden="false" customHeight="true" outlineLevel="0" collapsed="false">
      <c r="A26" s="41" t="s">
        <v>143</v>
      </c>
      <c r="B26" s="42" t="s">
        <v>144</v>
      </c>
      <c r="C26" s="44" t="n">
        <f aca="false">SUM(C18:C25)*0.08</f>
        <v>7760000</v>
      </c>
      <c r="D26" s="43" t="n">
        <v>0</v>
      </c>
      <c r="E26" s="43" t="n">
        <v>0</v>
      </c>
      <c r="F26" s="44" t="n">
        <f aca="false">C26-E26</f>
        <v>7760000</v>
      </c>
      <c r="G26" s="45" t="n">
        <f aca="false">IFERROR(C26/INPUT!$B$19,0)</f>
        <v>8.70061476122082</v>
      </c>
      <c r="H26" s="45" t="n">
        <f aca="false">IFERROR(E26/INPUT!$B$19,0)</f>
        <v>0</v>
      </c>
      <c r="I26" s="46" t="s">
        <v>145</v>
      </c>
    </row>
    <row r="27" customFormat="false" ht="18" hidden="false" customHeight="true" outlineLevel="0" collapsed="false">
      <c r="A27" s="41" t="s">
        <v>146</v>
      </c>
      <c r="B27" s="42" t="s">
        <v>147</v>
      </c>
      <c r="C27" s="44" t="n">
        <f aca="false">SUM(C18:C26)*0.05</f>
        <v>5238000</v>
      </c>
      <c r="D27" s="43" t="n">
        <v>0</v>
      </c>
      <c r="E27" s="43" t="n">
        <v>0</v>
      </c>
      <c r="F27" s="44" t="n">
        <f aca="false">C27-E27</f>
        <v>5238000</v>
      </c>
      <c r="G27" s="45" t="n">
        <f aca="false">IFERROR(C27/INPUT!$B$19,0)</f>
        <v>5.87291496382406</v>
      </c>
      <c r="H27" s="45" t="n">
        <f aca="false">IFERROR(E27/INPUT!$B$19,0)</f>
        <v>0</v>
      </c>
      <c r="I27" s="46" t="s">
        <v>148</v>
      </c>
    </row>
    <row r="28" customFormat="false" ht="19.5" hidden="false" customHeight="true" outlineLevel="0" collapsed="false">
      <c r="A28" s="39"/>
      <c r="B28" s="47" t="s">
        <v>149</v>
      </c>
      <c r="C28" s="48" t="n">
        <f aca="false">SUM(C18:C27)</f>
        <v>109998000</v>
      </c>
      <c r="D28" s="48" t="n">
        <f aca="false">SUM(D18:D27)</f>
        <v>0</v>
      </c>
      <c r="E28" s="48" t="n">
        <f aca="false">SUM(E18:E27)</f>
        <v>0</v>
      </c>
      <c r="F28" s="48" t="n">
        <f aca="false">C28-E28</f>
        <v>109998000</v>
      </c>
      <c r="G28" s="49" t="n">
        <f aca="false">IFERROR(C28/INPUT!$B$19,0)</f>
        <v>123.331214240305</v>
      </c>
      <c r="H28" s="49" t="n">
        <f aca="false">IFERROR(E28/INPUT!$B$19,0)</f>
        <v>0</v>
      </c>
      <c r="I28" s="50" t="n">
        <f aca="false">IFERROR(C28/INPUT!$B$37," ")</f>
        <v>0.211883596693796</v>
      </c>
    </row>
    <row r="29" customFormat="false" ht="6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</row>
    <row r="30" customFormat="false" ht="21.75" hidden="false" customHeight="true" outlineLevel="0" collapsed="false">
      <c r="A30" s="51" t="s">
        <v>150</v>
      </c>
      <c r="B30" s="52" t="s">
        <v>151</v>
      </c>
      <c r="C30" s="52"/>
      <c r="D30" s="52"/>
      <c r="E30" s="53"/>
      <c r="F30" s="53"/>
      <c r="G30" s="53"/>
      <c r="H30" s="53"/>
      <c r="I30" s="54" t="s">
        <v>152</v>
      </c>
    </row>
    <row r="31" customFormat="false" ht="18" hidden="false" customHeight="true" outlineLevel="0" collapsed="false">
      <c r="A31" s="55" t="s">
        <v>153</v>
      </c>
      <c r="B31" s="56" t="s">
        <v>154</v>
      </c>
      <c r="C31" s="57" t="n">
        <v>3500000</v>
      </c>
      <c r="D31" s="57" t="n">
        <v>0</v>
      </c>
      <c r="E31" s="57" t="n">
        <v>0</v>
      </c>
      <c r="F31" s="58" t="n">
        <f aca="false">C31-E31</f>
        <v>3500000</v>
      </c>
      <c r="G31" s="59" t="n">
        <f aca="false">IFERROR(C31/INPUT!$B$19,0)</f>
        <v>3.92424634848877</v>
      </c>
      <c r="H31" s="59" t="n">
        <f aca="false">IFERROR(E31/INPUT!$B$19,0)</f>
        <v>0</v>
      </c>
      <c r="I31" s="60" t="s">
        <v>155</v>
      </c>
    </row>
    <row r="32" customFormat="false" ht="18" hidden="false" customHeight="true" outlineLevel="0" collapsed="false">
      <c r="A32" s="55" t="s">
        <v>156</v>
      </c>
      <c r="B32" s="56" t="s">
        <v>157</v>
      </c>
      <c r="C32" s="57" t="n">
        <v>1800000</v>
      </c>
      <c r="D32" s="57" t="n">
        <v>0</v>
      </c>
      <c r="E32" s="57" t="n">
        <v>0</v>
      </c>
      <c r="F32" s="58" t="n">
        <f aca="false">C32-E32</f>
        <v>1800000</v>
      </c>
      <c r="G32" s="59" t="n">
        <f aca="false">IFERROR(C32/INPUT!$B$19,0)</f>
        <v>2.01818383636565</v>
      </c>
      <c r="H32" s="59" t="n">
        <f aca="false">IFERROR(E32/INPUT!$B$19,0)</f>
        <v>0</v>
      </c>
      <c r="I32" s="60" t="s">
        <v>158</v>
      </c>
    </row>
    <row r="33" customFormat="false" ht="18" hidden="false" customHeight="true" outlineLevel="0" collapsed="false">
      <c r="A33" s="55" t="s">
        <v>159</v>
      </c>
      <c r="B33" s="56" t="s">
        <v>160</v>
      </c>
      <c r="C33" s="57" t="n">
        <v>2200000</v>
      </c>
      <c r="D33" s="57" t="n">
        <v>0</v>
      </c>
      <c r="E33" s="57" t="n">
        <v>0</v>
      </c>
      <c r="F33" s="58" t="n">
        <f aca="false">C33-E33</f>
        <v>2200000</v>
      </c>
      <c r="G33" s="59" t="n">
        <f aca="false">IFERROR(C33/INPUT!$B$19,0)</f>
        <v>2.4666691333358</v>
      </c>
      <c r="H33" s="59" t="n">
        <f aca="false">IFERROR(E33/INPUT!$B$19,0)</f>
        <v>0</v>
      </c>
      <c r="I33" s="60" t="s">
        <v>161</v>
      </c>
    </row>
    <row r="34" customFormat="false" ht="18" hidden="false" customHeight="true" outlineLevel="0" collapsed="false">
      <c r="A34" s="55" t="s">
        <v>162</v>
      </c>
      <c r="B34" s="56" t="s">
        <v>163</v>
      </c>
      <c r="C34" s="57" t="n">
        <v>1500000</v>
      </c>
      <c r="D34" s="57" t="n">
        <v>0</v>
      </c>
      <c r="E34" s="57" t="n">
        <v>0</v>
      </c>
      <c r="F34" s="58" t="n">
        <f aca="false">C34-E34</f>
        <v>1500000</v>
      </c>
      <c r="G34" s="59" t="n">
        <f aca="false">IFERROR(C34/INPUT!$B$19,0)</f>
        <v>1.68181986363805</v>
      </c>
      <c r="H34" s="59" t="n">
        <f aca="false">IFERROR(E34/INPUT!$B$19,0)</f>
        <v>0</v>
      </c>
      <c r="I34" s="60" t="s">
        <v>164</v>
      </c>
    </row>
    <row r="35" customFormat="false" ht="18" hidden="false" customHeight="true" outlineLevel="0" collapsed="false">
      <c r="A35" s="55" t="s">
        <v>165</v>
      </c>
      <c r="B35" s="56" t="s">
        <v>166</v>
      </c>
      <c r="C35" s="57" t="n">
        <v>900000</v>
      </c>
      <c r="D35" s="57" t="n">
        <v>0</v>
      </c>
      <c r="E35" s="57" t="n">
        <v>0</v>
      </c>
      <c r="F35" s="58" t="n">
        <f aca="false">C35-E35</f>
        <v>900000</v>
      </c>
      <c r="G35" s="59" t="n">
        <f aca="false">IFERROR(C35/INPUT!$B$19,0)</f>
        <v>1.00909191818283</v>
      </c>
      <c r="H35" s="59" t="n">
        <f aca="false">IFERROR(E35/INPUT!$B$19,0)</f>
        <v>0</v>
      </c>
      <c r="I35" s="60" t="s">
        <v>167</v>
      </c>
    </row>
    <row r="36" customFormat="false" ht="18" hidden="false" customHeight="true" outlineLevel="0" collapsed="false">
      <c r="A36" s="55" t="s">
        <v>168</v>
      </c>
      <c r="B36" s="56" t="s">
        <v>169</v>
      </c>
      <c r="C36" s="57" t="n">
        <v>700000</v>
      </c>
      <c r="D36" s="57" t="n">
        <v>0</v>
      </c>
      <c r="E36" s="57" t="n">
        <v>0</v>
      </c>
      <c r="F36" s="58" t="n">
        <f aca="false">C36-E36</f>
        <v>700000</v>
      </c>
      <c r="G36" s="59" t="n">
        <f aca="false">IFERROR(C36/INPUT!$B$19,0)</f>
        <v>0.784849269697755</v>
      </c>
      <c r="H36" s="59" t="n">
        <f aca="false">IFERROR(E36/INPUT!$B$19,0)</f>
        <v>0</v>
      </c>
      <c r="I36" s="60" t="s">
        <v>170</v>
      </c>
    </row>
    <row r="37" customFormat="false" ht="18" hidden="false" customHeight="true" outlineLevel="0" collapsed="false">
      <c r="A37" s="55" t="s">
        <v>171</v>
      </c>
      <c r="B37" s="56" t="s">
        <v>172</v>
      </c>
      <c r="C37" s="57" t="n">
        <v>250000</v>
      </c>
      <c r="D37" s="57" t="n">
        <v>0</v>
      </c>
      <c r="E37" s="57" t="n">
        <v>0</v>
      </c>
      <c r="F37" s="58" t="n">
        <f aca="false">C37-E37</f>
        <v>250000</v>
      </c>
      <c r="G37" s="59" t="n">
        <f aca="false">IFERROR(C37/INPUT!$B$19,0)</f>
        <v>0.280303310606341</v>
      </c>
      <c r="H37" s="59" t="n">
        <f aca="false">IFERROR(E37/INPUT!$B$19,0)</f>
        <v>0</v>
      </c>
      <c r="I37" s="60" t="s">
        <v>173</v>
      </c>
    </row>
    <row r="38" customFormat="false" ht="18" hidden="false" customHeight="true" outlineLevel="0" collapsed="false">
      <c r="A38" s="55" t="s">
        <v>174</v>
      </c>
      <c r="B38" s="56" t="s">
        <v>175</v>
      </c>
      <c r="C38" s="57" t="n">
        <v>1200000</v>
      </c>
      <c r="D38" s="57" t="n">
        <v>0</v>
      </c>
      <c r="E38" s="57" t="n">
        <v>0</v>
      </c>
      <c r="F38" s="58" t="n">
        <f aca="false">C38-E38</f>
        <v>1200000</v>
      </c>
      <c r="G38" s="59" t="n">
        <f aca="false">IFERROR(C38/INPUT!$B$19,0)</f>
        <v>1.34545589091044</v>
      </c>
      <c r="H38" s="59" t="n">
        <f aca="false">IFERROR(E38/INPUT!$B$19,0)</f>
        <v>0</v>
      </c>
      <c r="I38" s="60" t="s">
        <v>176</v>
      </c>
    </row>
    <row r="39" customFormat="false" ht="18" hidden="false" customHeight="true" outlineLevel="0" collapsed="false">
      <c r="A39" s="55" t="s">
        <v>177</v>
      </c>
      <c r="B39" s="56" t="s">
        <v>178</v>
      </c>
      <c r="C39" s="57" t="n">
        <v>600000</v>
      </c>
      <c r="D39" s="57" t="n">
        <v>0</v>
      </c>
      <c r="E39" s="57" t="n">
        <v>0</v>
      </c>
      <c r="F39" s="58" t="n">
        <f aca="false">C39-E39</f>
        <v>600000</v>
      </c>
      <c r="G39" s="59" t="n">
        <f aca="false">IFERROR(C39/INPUT!$B$19,0)</f>
        <v>0.672727945455218</v>
      </c>
      <c r="H39" s="59" t="n">
        <f aca="false">IFERROR(E39/INPUT!$B$19,0)</f>
        <v>0</v>
      </c>
      <c r="I39" s="60" t="s">
        <v>179</v>
      </c>
    </row>
    <row r="40" customFormat="false" ht="18" hidden="false" customHeight="true" outlineLevel="0" collapsed="false">
      <c r="A40" s="55" t="s">
        <v>180</v>
      </c>
      <c r="B40" s="56" t="s">
        <v>181</v>
      </c>
      <c r="C40" s="57" t="n">
        <v>2500000</v>
      </c>
      <c r="D40" s="57" t="n">
        <v>0</v>
      </c>
      <c r="E40" s="57" t="n">
        <v>0</v>
      </c>
      <c r="F40" s="58" t="n">
        <f aca="false">C40-E40</f>
        <v>2500000</v>
      </c>
      <c r="G40" s="59" t="n">
        <f aca="false">IFERROR(C40/INPUT!$B$19,0)</f>
        <v>2.80303310606341</v>
      </c>
      <c r="H40" s="59" t="n">
        <f aca="false">IFERROR(E40/INPUT!$B$19,0)</f>
        <v>0</v>
      </c>
      <c r="I40" s="60" t="s">
        <v>182</v>
      </c>
    </row>
    <row r="41" customFormat="false" ht="18" hidden="false" customHeight="true" outlineLevel="0" collapsed="false">
      <c r="A41" s="55" t="s">
        <v>183</v>
      </c>
      <c r="B41" s="56" t="s">
        <v>184</v>
      </c>
      <c r="C41" s="57" t="n">
        <v>3000000</v>
      </c>
      <c r="D41" s="57" t="n">
        <v>0</v>
      </c>
      <c r="E41" s="57" t="n">
        <v>0</v>
      </c>
      <c r="F41" s="58" t="n">
        <f aca="false">C41-E41</f>
        <v>3000000</v>
      </c>
      <c r="G41" s="59" t="n">
        <f aca="false">IFERROR(C41/INPUT!$B$19,0)</f>
        <v>3.36363972727609</v>
      </c>
      <c r="H41" s="59" t="n">
        <f aca="false">IFERROR(E41/INPUT!$B$19,0)</f>
        <v>0</v>
      </c>
      <c r="I41" s="60" t="s">
        <v>185</v>
      </c>
    </row>
    <row r="42" customFormat="false" ht="18" hidden="false" customHeight="true" outlineLevel="0" collapsed="false">
      <c r="A42" s="55" t="s">
        <v>186</v>
      </c>
      <c r="B42" s="56" t="s">
        <v>187</v>
      </c>
      <c r="C42" s="58" t="n">
        <f aca="false">SUM(C31:C41)*0.05</f>
        <v>907500</v>
      </c>
      <c r="D42" s="57" t="n">
        <v>0</v>
      </c>
      <c r="E42" s="57" t="n">
        <v>0</v>
      </c>
      <c r="F42" s="58" t="n">
        <f aca="false">C42-E42</f>
        <v>907500</v>
      </c>
      <c r="G42" s="59" t="n">
        <f aca="false">IFERROR(C42/INPUT!$B$19,0)</f>
        <v>1.01750101750102</v>
      </c>
      <c r="H42" s="59" t="n">
        <f aca="false">IFERROR(E42/INPUT!$B$19,0)</f>
        <v>0</v>
      </c>
      <c r="I42" s="60" t="s">
        <v>188</v>
      </c>
    </row>
    <row r="43" customFormat="false" ht="19.5" hidden="false" customHeight="true" outlineLevel="0" collapsed="false">
      <c r="A43" s="53"/>
      <c r="B43" s="61" t="s">
        <v>189</v>
      </c>
      <c r="C43" s="62" t="n">
        <f aca="false">SUM(C31:C42)</f>
        <v>19057500</v>
      </c>
      <c r="D43" s="62" t="n">
        <f aca="false">SUM(D31:D42)</f>
        <v>0</v>
      </c>
      <c r="E43" s="62" t="n">
        <f aca="false">SUM(E31:E42)</f>
        <v>0</v>
      </c>
      <c r="F43" s="62" t="n">
        <f aca="false">C43-E43</f>
        <v>19057500</v>
      </c>
      <c r="G43" s="63" t="n">
        <f aca="false">IFERROR(C43/INPUT!$B$19,0)</f>
        <v>21.3675213675214</v>
      </c>
      <c r="H43" s="63" t="n">
        <f aca="false">IFERROR(E43/INPUT!$B$19,0)</f>
        <v>0</v>
      </c>
      <c r="I43" s="64" t="n">
        <f aca="false">IFERROR(C43/INPUT!$B$37," ")</f>
        <v>0.0367095005726652</v>
      </c>
    </row>
    <row r="44" customFormat="false" ht="6" hidden="false" customHeight="true" outlineLevel="0" collapsed="false">
      <c r="A44" s="36"/>
      <c r="B44" s="36"/>
      <c r="C44" s="36"/>
      <c r="D44" s="36"/>
      <c r="E44" s="36"/>
      <c r="F44" s="36"/>
      <c r="G44" s="36"/>
      <c r="H44" s="36"/>
      <c r="I44" s="36"/>
    </row>
    <row r="45" customFormat="false" ht="21.75" hidden="false" customHeight="true" outlineLevel="0" collapsed="false">
      <c r="A45" s="65" t="s">
        <v>190</v>
      </c>
      <c r="B45" s="66" t="s">
        <v>191</v>
      </c>
      <c r="C45" s="66"/>
      <c r="D45" s="66"/>
      <c r="E45" s="67"/>
      <c r="F45" s="67"/>
      <c r="G45" s="67"/>
      <c r="H45" s="67"/>
      <c r="I45" s="68" t="s">
        <v>192</v>
      </c>
    </row>
    <row r="46" customFormat="false" ht="18" hidden="false" customHeight="true" outlineLevel="0" collapsed="false">
      <c r="A46" s="69" t="s">
        <v>193</v>
      </c>
      <c r="B46" s="70" t="s">
        <v>194</v>
      </c>
      <c r="C46" s="71" t="n">
        <f aca="false">COSTING!C28*0.04</f>
        <v>4399920</v>
      </c>
      <c r="D46" s="72" t="n">
        <v>0</v>
      </c>
      <c r="E46" s="72" t="n">
        <v>0</v>
      </c>
      <c r="F46" s="71" t="n">
        <f aca="false">C46-E46</f>
        <v>4399920</v>
      </c>
      <c r="G46" s="73" t="n">
        <f aca="false">IFERROR(C46/INPUT!$B$19,0)</f>
        <v>4.93324856961221</v>
      </c>
      <c r="H46" s="73" t="n">
        <f aca="false">IFERROR(E46/INPUT!$B$19,0)</f>
        <v>0</v>
      </c>
      <c r="I46" s="74" t="s">
        <v>195</v>
      </c>
    </row>
    <row r="47" customFormat="false" ht="18" hidden="false" customHeight="true" outlineLevel="0" collapsed="false">
      <c r="A47" s="69" t="s">
        <v>196</v>
      </c>
      <c r="B47" s="70" t="s">
        <v>197</v>
      </c>
      <c r="C47" s="71" t="n">
        <f aca="false">COSTING!C28*0.015</f>
        <v>1649970</v>
      </c>
      <c r="D47" s="72" t="n">
        <v>0</v>
      </c>
      <c r="E47" s="72" t="n">
        <v>0</v>
      </c>
      <c r="F47" s="71" t="n">
        <f aca="false">C47-E47</f>
        <v>1649970</v>
      </c>
      <c r="G47" s="73" t="n">
        <f aca="false">IFERROR(C47/INPUT!$B$19,0)</f>
        <v>1.84996821360458</v>
      </c>
      <c r="H47" s="73" t="n">
        <f aca="false">IFERROR(E47/INPUT!$B$19,0)</f>
        <v>0</v>
      </c>
      <c r="I47" s="74" t="s">
        <v>198</v>
      </c>
    </row>
    <row r="48" customFormat="false" ht="18" hidden="false" customHeight="true" outlineLevel="0" collapsed="false">
      <c r="A48" s="69" t="s">
        <v>199</v>
      </c>
      <c r="B48" s="70" t="s">
        <v>200</v>
      </c>
      <c r="C48" s="71" t="n">
        <f aca="false">(C22+C23)*0.015</f>
        <v>247500</v>
      </c>
      <c r="D48" s="72" t="n">
        <v>0</v>
      </c>
      <c r="E48" s="72" t="n">
        <v>0</v>
      </c>
      <c r="F48" s="71" t="n">
        <f aca="false">C48-E48</f>
        <v>247500</v>
      </c>
      <c r="G48" s="73" t="n">
        <f aca="false">IFERROR(C48/INPUT!$B$19,0)</f>
        <v>0.277500277500278</v>
      </c>
      <c r="H48" s="73" t="n">
        <f aca="false">IFERROR(E48/INPUT!$B$19,0)</f>
        <v>0</v>
      </c>
      <c r="I48" s="74" t="s">
        <v>201</v>
      </c>
    </row>
    <row r="49" customFormat="false" ht="18" hidden="false" customHeight="true" outlineLevel="0" collapsed="false">
      <c r="A49" s="69" t="s">
        <v>202</v>
      </c>
      <c r="B49" s="70" t="s">
        <v>203</v>
      </c>
      <c r="C49" s="71" t="n">
        <f aca="false">COSTING!C28*0.01</f>
        <v>1099980</v>
      </c>
      <c r="D49" s="72" t="n">
        <v>0</v>
      </c>
      <c r="E49" s="72" t="n">
        <v>0</v>
      </c>
      <c r="F49" s="71" t="n">
        <f aca="false">C49-E49</f>
        <v>1099980</v>
      </c>
      <c r="G49" s="73" t="n">
        <f aca="false">IFERROR(C49/INPUT!$B$19,0)</f>
        <v>1.23331214240305</v>
      </c>
      <c r="H49" s="73" t="n">
        <f aca="false">IFERROR(E49/INPUT!$B$19,0)</f>
        <v>0</v>
      </c>
      <c r="I49" s="74" t="s">
        <v>204</v>
      </c>
    </row>
    <row r="50" customFormat="false" ht="18" hidden="false" customHeight="true" outlineLevel="0" collapsed="false">
      <c r="A50" s="69" t="s">
        <v>205</v>
      </c>
      <c r="B50" s="70" t="s">
        <v>206</v>
      </c>
      <c r="C50" s="71" t="n">
        <f aca="false">INPUT!B13*2000</f>
        <v>20000</v>
      </c>
      <c r="D50" s="72" t="n">
        <v>0</v>
      </c>
      <c r="E50" s="72" t="n">
        <v>0</v>
      </c>
      <c r="F50" s="71" t="n">
        <f aca="false">C50-E50</f>
        <v>20000</v>
      </c>
      <c r="G50" s="73" t="n">
        <f aca="false">IFERROR(C50/INPUT!$B$19,0)</f>
        <v>0.0224242648485073</v>
      </c>
      <c r="H50" s="73" t="n">
        <f aca="false">IFERROR(E50/INPUT!$B$19,0)</f>
        <v>0</v>
      </c>
      <c r="I50" s="74" t="s">
        <v>207</v>
      </c>
    </row>
    <row r="51" customFormat="false" ht="18" hidden="false" customHeight="true" outlineLevel="0" collapsed="false">
      <c r="A51" s="69" t="s">
        <v>208</v>
      </c>
      <c r="B51" s="70" t="s">
        <v>209</v>
      </c>
      <c r="C51" s="72" t="n">
        <v>120000</v>
      </c>
      <c r="D51" s="72" t="n">
        <v>0</v>
      </c>
      <c r="E51" s="72" t="n">
        <v>0</v>
      </c>
      <c r="F51" s="71" t="n">
        <f aca="false">C51-E51</f>
        <v>120000</v>
      </c>
      <c r="G51" s="73" t="n">
        <f aca="false">IFERROR(C51/INPUT!$B$19,0)</f>
        <v>0.134545589091044</v>
      </c>
      <c r="H51" s="73" t="n">
        <f aca="false">IFERROR(E51/INPUT!$B$19,0)</f>
        <v>0</v>
      </c>
      <c r="I51" s="74" t="s">
        <v>210</v>
      </c>
    </row>
    <row r="52" customFormat="false" ht="18" hidden="false" customHeight="true" outlineLevel="0" collapsed="false">
      <c r="A52" s="69" t="s">
        <v>211</v>
      </c>
      <c r="B52" s="70" t="s">
        <v>212</v>
      </c>
      <c r="C52" s="72" t="n">
        <v>180000</v>
      </c>
      <c r="D52" s="72" t="n">
        <v>0</v>
      </c>
      <c r="E52" s="72" t="n">
        <v>0</v>
      </c>
      <c r="F52" s="71" t="n">
        <f aca="false">C52-E52</f>
        <v>180000</v>
      </c>
      <c r="G52" s="73" t="n">
        <f aca="false">IFERROR(C52/INPUT!$B$19,0)</f>
        <v>0.201818383636565</v>
      </c>
      <c r="H52" s="73" t="n">
        <f aca="false">IFERROR(E52/INPUT!$B$19,0)</f>
        <v>0</v>
      </c>
      <c r="I52" s="74" t="s">
        <v>213</v>
      </c>
    </row>
    <row r="53" customFormat="false" ht="18" hidden="false" customHeight="true" outlineLevel="0" collapsed="false">
      <c r="A53" s="69" t="s">
        <v>214</v>
      </c>
      <c r="B53" s="70" t="s">
        <v>215</v>
      </c>
      <c r="C53" s="72" t="n">
        <v>80000</v>
      </c>
      <c r="D53" s="72" t="n">
        <v>0</v>
      </c>
      <c r="E53" s="72" t="n">
        <v>0</v>
      </c>
      <c r="F53" s="71" t="n">
        <f aca="false">C53-E53</f>
        <v>80000</v>
      </c>
      <c r="G53" s="73" t="n">
        <f aca="false">IFERROR(C53/INPUT!$B$19,0)</f>
        <v>0.0896970593940291</v>
      </c>
      <c r="H53" s="73" t="n">
        <f aca="false">IFERROR(E53/INPUT!$B$19,0)</f>
        <v>0</v>
      </c>
      <c r="I53" s="74" t="s">
        <v>216</v>
      </c>
    </row>
    <row r="54" customFormat="false" ht="18" hidden="false" customHeight="true" outlineLevel="0" collapsed="false">
      <c r="A54" s="69" t="s">
        <v>217</v>
      </c>
      <c r="B54" s="70" t="s">
        <v>218</v>
      </c>
      <c r="C54" s="72" t="n">
        <v>350000</v>
      </c>
      <c r="D54" s="72" t="n">
        <v>0</v>
      </c>
      <c r="E54" s="72" t="n">
        <v>0</v>
      </c>
      <c r="F54" s="71" t="n">
        <f aca="false">C54-E54</f>
        <v>350000</v>
      </c>
      <c r="G54" s="73" t="n">
        <f aca="false">IFERROR(C54/INPUT!$B$19,0)</f>
        <v>0.392424634848877</v>
      </c>
      <c r="H54" s="73" t="n">
        <f aca="false">IFERROR(E54/INPUT!$B$19,0)</f>
        <v>0</v>
      </c>
      <c r="I54" s="74" t="s">
        <v>219</v>
      </c>
    </row>
    <row r="55" customFormat="false" ht="18" hidden="false" customHeight="true" outlineLevel="0" collapsed="false">
      <c r="A55" s="69" t="s">
        <v>220</v>
      </c>
      <c r="B55" s="70" t="s">
        <v>221</v>
      </c>
      <c r="C55" s="72" t="n">
        <v>400000</v>
      </c>
      <c r="D55" s="72" t="n">
        <v>0</v>
      </c>
      <c r="E55" s="72" t="n">
        <v>0</v>
      </c>
      <c r="F55" s="71" t="n">
        <f aca="false">C55-E55</f>
        <v>400000</v>
      </c>
      <c r="G55" s="73" t="n">
        <f aca="false">IFERROR(C55/INPUT!$B$19,0)</f>
        <v>0.448485296970145</v>
      </c>
      <c r="H55" s="73" t="n">
        <f aca="false">IFERROR(E55/INPUT!$B$19,0)</f>
        <v>0</v>
      </c>
      <c r="I55" s="74" t="s">
        <v>222</v>
      </c>
    </row>
    <row r="56" customFormat="false" ht="19.5" hidden="false" customHeight="true" outlineLevel="0" collapsed="false">
      <c r="A56" s="67"/>
      <c r="B56" s="75" t="s">
        <v>223</v>
      </c>
      <c r="C56" s="76" t="n">
        <f aca="false">SUM(C46:C55)</f>
        <v>8547370</v>
      </c>
      <c r="D56" s="76" t="n">
        <f aca="false">SUM(D46:D55)</f>
        <v>0</v>
      </c>
      <c r="E56" s="76" t="n">
        <f aca="false">SUM(E46:E55)</f>
        <v>0</v>
      </c>
      <c r="F56" s="76" t="n">
        <f aca="false">C56-E56</f>
        <v>8547370</v>
      </c>
      <c r="G56" s="77" t="n">
        <f aca="false">IFERROR(C56/INPUT!$B$19,0)</f>
        <v>9.58342443190928</v>
      </c>
      <c r="H56" s="77" t="n">
        <f aca="false">IFERROR(E56/INPUT!$B$19,0)</f>
        <v>0</v>
      </c>
      <c r="I56" s="78" t="n">
        <f aca="false">IFERROR(C56/INPUT!$B$37," ")</f>
        <v>0.0164643675146153</v>
      </c>
    </row>
    <row r="57" customFormat="false" ht="6" hidden="false" customHeight="true" outlineLevel="0" collapsed="false">
      <c r="A57" s="36"/>
      <c r="B57" s="36"/>
      <c r="C57" s="36"/>
      <c r="D57" s="36"/>
      <c r="E57" s="36"/>
      <c r="F57" s="36"/>
      <c r="G57" s="36"/>
      <c r="H57" s="36"/>
      <c r="I57" s="36"/>
    </row>
    <row r="58" customFormat="false" ht="21.75" hidden="false" customHeight="true" outlineLevel="0" collapsed="false">
      <c r="A58" s="79" t="s">
        <v>224</v>
      </c>
      <c r="B58" s="14" t="s">
        <v>225</v>
      </c>
      <c r="C58" s="14"/>
      <c r="D58" s="14"/>
      <c r="E58" s="80"/>
      <c r="F58" s="80"/>
      <c r="G58" s="80"/>
      <c r="H58" s="80"/>
      <c r="I58" s="81" t="s">
        <v>226</v>
      </c>
    </row>
    <row r="59" customFormat="false" ht="18" hidden="false" customHeight="true" outlineLevel="0" collapsed="false">
      <c r="A59" s="82" t="s">
        <v>227</v>
      </c>
      <c r="B59" s="83" t="s">
        <v>228</v>
      </c>
      <c r="C59" s="84" t="n">
        <v>9500000</v>
      </c>
      <c r="D59" s="84" t="n">
        <v>0</v>
      </c>
      <c r="E59" s="84" t="n">
        <v>0</v>
      </c>
      <c r="F59" s="85" t="n">
        <f aca="false">C59-E59</f>
        <v>9500000</v>
      </c>
      <c r="G59" s="86" t="n">
        <f aca="false">IFERROR(C59/INPUT!$B$19,0)</f>
        <v>10.651525803041</v>
      </c>
      <c r="H59" s="86" t="n">
        <f aca="false">IFERROR(E59/INPUT!$B$19,0)</f>
        <v>0</v>
      </c>
      <c r="I59" s="87" t="s">
        <v>229</v>
      </c>
    </row>
    <row r="60" customFormat="false" ht="18" hidden="false" customHeight="true" outlineLevel="0" collapsed="false">
      <c r="A60" s="82" t="s">
        <v>230</v>
      </c>
      <c r="B60" s="83" t="s">
        <v>231</v>
      </c>
      <c r="C60" s="85" t="n">
        <f aca="false">COSTING!C28*0.005</f>
        <v>549990</v>
      </c>
      <c r="D60" s="84" t="n">
        <v>0</v>
      </c>
      <c r="E60" s="84" t="n">
        <v>0</v>
      </c>
      <c r="F60" s="85" t="n">
        <f aca="false">C60-E60</f>
        <v>549990</v>
      </c>
      <c r="G60" s="86" t="n">
        <f aca="false">IFERROR(C60/INPUT!$B$19,0)</f>
        <v>0.616656071201526</v>
      </c>
      <c r="H60" s="86" t="n">
        <f aca="false">IFERROR(E60/INPUT!$B$19,0)</f>
        <v>0</v>
      </c>
      <c r="I60" s="87" t="s">
        <v>232</v>
      </c>
    </row>
    <row r="61" customFormat="false" ht="18" hidden="false" customHeight="true" outlineLevel="0" collapsed="false">
      <c r="A61" s="82" t="s">
        <v>233</v>
      </c>
      <c r="B61" s="83" t="s">
        <v>234</v>
      </c>
      <c r="C61" s="85" t="n">
        <f aca="false">COSTING!C28*0.003</f>
        <v>329994</v>
      </c>
      <c r="D61" s="84" t="n">
        <v>0</v>
      </c>
      <c r="E61" s="84" t="n">
        <v>0</v>
      </c>
      <c r="F61" s="85" t="n">
        <f aca="false">C61-E61</f>
        <v>329994</v>
      </c>
      <c r="G61" s="86" t="n">
        <f aca="false">IFERROR(C61/INPUT!$B$19,0)</f>
        <v>0.369993642720915</v>
      </c>
      <c r="H61" s="86" t="n">
        <f aca="false">IFERROR(E61/INPUT!$B$19,0)</f>
        <v>0</v>
      </c>
      <c r="I61" s="87" t="s">
        <v>235</v>
      </c>
    </row>
    <row r="62" customFormat="false" ht="18" hidden="false" customHeight="true" outlineLevel="0" collapsed="false">
      <c r="A62" s="82" t="s">
        <v>236</v>
      </c>
      <c r="B62" s="83" t="s">
        <v>237</v>
      </c>
      <c r="C62" s="84" t="n">
        <v>80000</v>
      </c>
      <c r="D62" s="84" t="n">
        <v>0</v>
      </c>
      <c r="E62" s="84" t="n">
        <v>0</v>
      </c>
      <c r="F62" s="85" t="n">
        <f aca="false">C62-E62</f>
        <v>80000</v>
      </c>
      <c r="G62" s="86" t="n">
        <f aca="false">IFERROR(C62/INPUT!$B$19,0)</f>
        <v>0.0896970593940291</v>
      </c>
      <c r="H62" s="86" t="n">
        <f aca="false">IFERROR(E62/INPUT!$B$19,0)</f>
        <v>0</v>
      </c>
      <c r="I62" s="87" t="s">
        <v>238</v>
      </c>
    </row>
    <row r="63" customFormat="false" ht="18" hidden="false" customHeight="true" outlineLevel="0" collapsed="false">
      <c r="A63" s="82" t="s">
        <v>239</v>
      </c>
      <c r="B63" s="83" t="s">
        <v>240</v>
      </c>
      <c r="C63" s="84" t="n">
        <v>1500000</v>
      </c>
      <c r="D63" s="84" t="n">
        <v>0</v>
      </c>
      <c r="E63" s="84" t="n">
        <v>0</v>
      </c>
      <c r="F63" s="85" t="n">
        <f aca="false">C63-E63</f>
        <v>1500000</v>
      </c>
      <c r="G63" s="86" t="n">
        <f aca="false">IFERROR(C63/INPUT!$B$19,0)</f>
        <v>1.68181986363805</v>
      </c>
      <c r="H63" s="86" t="n">
        <f aca="false">IFERROR(E63/INPUT!$B$19,0)</f>
        <v>0</v>
      </c>
      <c r="I63" s="87" t="s">
        <v>241</v>
      </c>
    </row>
    <row r="64" customFormat="false" ht="18" hidden="false" customHeight="true" outlineLevel="0" collapsed="false">
      <c r="A64" s="82" t="s">
        <v>242</v>
      </c>
      <c r="B64" s="83" t="s">
        <v>243</v>
      </c>
      <c r="C64" s="84" t="n">
        <v>600000</v>
      </c>
      <c r="D64" s="84" t="n">
        <v>0</v>
      </c>
      <c r="E64" s="84" t="n">
        <v>0</v>
      </c>
      <c r="F64" s="85" t="n">
        <f aca="false">C64-E64</f>
        <v>600000</v>
      </c>
      <c r="G64" s="86" t="n">
        <f aca="false">IFERROR(C64/INPUT!$B$19,0)</f>
        <v>0.672727945455218</v>
      </c>
      <c r="H64" s="86" t="n">
        <f aca="false">IFERROR(E64/INPUT!$B$19,0)</f>
        <v>0</v>
      </c>
      <c r="I64" s="87" t="s">
        <v>244</v>
      </c>
    </row>
    <row r="65" customFormat="false" ht="18" hidden="false" customHeight="true" outlineLevel="0" collapsed="false">
      <c r="A65" s="82" t="s">
        <v>245</v>
      </c>
      <c r="B65" s="83" t="s">
        <v>246</v>
      </c>
      <c r="C65" s="84" t="n">
        <v>800000</v>
      </c>
      <c r="D65" s="84" t="n">
        <v>0</v>
      </c>
      <c r="E65" s="84" t="n">
        <v>0</v>
      </c>
      <c r="F65" s="85" t="n">
        <f aca="false">C65-E65</f>
        <v>800000</v>
      </c>
      <c r="G65" s="86" t="n">
        <f aca="false">IFERROR(C65/INPUT!$B$19,0)</f>
        <v>0.896970593940291</v>
      </c>
      <c r="H65" s="86" t="n">
        <f aca="false">IFERROR(E65/INPUT!$B$19,0)</f>
        <v>0</v>
      </c>
      <c r="I65" s="87" t="s">
        <v>247</v>
      </c>
    </row>
    <row r="66" customFormat="false" ht="18" hidden="false" customHeight="true" outlineLevel="0" collapsed="false">
      <c r="A66" s="82" t="s">
        <v>248</v>
      </c>
      <c r="B66" s="83" t="s">
        <v>249</v>
      </c>
      <c r="C66" s="85" t="n">
        <f aca="false">INPUT!B37*0.025</f>
        <v>12978588.44625</v>
      </c>
      <c r="D66" s="84" t="n">
        <v>0</v>
      </c>
      <c r="E66" s="84" t="n">
        <v>0</v>
      </c>
      <c r="F66" s="85" t="n">
        <f aca="false">C66-E66</f>
        <v>12978588.44625</v>
      </c>
      <c r="G66" s="86" t="n">
        <f aca="false">IFERROR(C66/INPUT!$B$19,0)</f>
        <v>14.5517652339243</v>
      </c>
      <c r="H66" s="86" t="n">
        <f aca="false">IFERROR(E66/INPUT!$B$19,0)</f>
        <v>0</v>
      </c>
      <c r="I66" s="87" t="s">
        <v>250</v>
      </c>
    </row>
    <row r="67" customFormat="false" ht="18" hidden="false" customHeight="true" outlineLevel="0" collapsed="false">
      <c r="A67" s="82" t="s">
        <v>251</v>
      </c>
      <c r="B67" s="83" t="s">
        <v>252</v>
      </c>
      <c r="C67" s="84" t="n">
        <v>25000</v>
      </c>
      <c r="D67" s="84" t="n">
        <v>0</v>
      </c>
      <c r="E67" s="84" t="n">
        <v>0</v>
      </c>
      <c r="F67" s="85" t="n">
        <f aca="false">C67-E67</f>
        <v>25000</v>
      </c>
      <c r="G67" s="86" t="n">
        <f aca="false">IFERROR(C67/INPUT!$B$19,0)</f>
        <v>0.0280303310606341</v>
      </c>
      <c r="H67" s="86" t="n">
        <f aca="false">IFERROR(E67/INPUT!$B$19,0)</f>
        <v>0</v>
      </c>
      <c r="I67" s="87" t="s">
        <v>253</v>
      </c>
    </row>
    <row r="68" customFormat="false" ht="18" hidden="false" customHeight="true" outlineLevel="0" collapsed="false">
      <c r="A68" s="82" t="s">
        <v>254</v>
      </c>
      <c r="B68" s="83" t="s">
        <v>255</v>
      </c>
      <c r="C68" s="84" t="n">
        <v>1200000</v>
      </c>
      <c r="D68" s="84" t="n">
        <v>0</v>
      </c>
      <c r="E68" s="84" t="n">
        <v>0</v>
      </c>
      <c r="F68" s="85" t="n">
        <f aca="false">C68-E68</f>
        <v>1200000</v>
      </c>
      <c r="G68" s="86" t="n">
        <f aca="false">IFERROR(C68/INPUT!$B$19,0)</f>
        <v>1.34545589091044</v>
      </c>
      <c r="H68" s="86" t="n">
        <f aca="false">IFERROR(E68/INPUT!$B$19,0)</f>
        <v>0</v>
      </c>
      <c r="I68" s="87" t="s">
        <v>256</v>
      </c>
    </row>
    <row r="69" customFormat="false" ht="18" hidden="false" customHeight="true" outlineLevel="0" collapsed="false">
      <c r="A69" s="82" t="s">
        <v>257</v>
      </c>
      <c r="B69" s="83" t="s">
        <v>258</v>
      </c>
      <c r="C69" s="85" t="n">
        <f aca="false">COSTING!C28*0.006</f>
        <v>659988</v>
      </c>
      <c r="D69" s="84" t="n">
        <v>0</v>
      </c>
      <c r="E69" s="84" t="n">
        <v>0</v>
      </c>
      <c r="F69" s="85" t="n">
        <f aca="false">C69-E69</f>
        <v>659988</v>
      </c>
      <c r="G69" s="86" t="n">
        <f aca="false">IFERROR(C69/INPUT!$B$19,0)</f>
        <v>0.739987285441831</v>
      </c>
      <c r="H69" s="86" t="n">
        <f aca="false">IFERROR(E69/INPUT!$B$19,0)</f>
        <v>0</v>
      </c>
      <c r="I69" s="87" t="s">
        <v>259</v>
      </c>
    </row>
    <row r="70" customFormat="false" ht="18" hidden="false" customHeight="true" outlineLevel="0" collapsed="false">
      <c r="A70" s="82" t="s">
        <v>260</v>
      </c>
      <c r="B70" s="83" t="s">
        <v>261</v>
      </c>
      <c r="C70" s="85" t="n">
        <f aca="false">COSTING!C28*0.005*0.12</f>
        <v>65998.8</v>
      </c>
      <c r="D70" s="84" t="n">
        <v>0</v>
      </c>
      <c r="E70" s="84" t="n">
        <v>0</v>
      </c>
      <c r="F70" s="85" t="n">
        <f aca="false">C70-E70</f>
        <v>65998.8</v>
      </c>
      <c r="G70" s="86" t="n">
        <f aca="false">IFERROR(C70/INPUT!$B$19,0)</f>
        <v>0.0739987285441831</v>
      </c>
      <c r="H70" s="86" t="n">
        <f aca="false">IFERROR(E70/INPUT!$B$19,0)</f>
        <v>0</v>
      </c>
      <c r="I70" s="87" t="s">
        <v>262</v>
      </c>
    </row>
    <row r="71" customFormat="false" ht="19.5" hidden="false" customHeight="true" outlineLevel="0" collapsed="false">
      <c r="A71" s="80"/>
      <c r="B71" s="88" t="s">
        <v>263</v>
      </c>
      <c r="C71" s="89" t="n">
        <f aca="false">SUM(C59:C70)</f>
        <v>28289559.24625</v>
      </c>
      <c r="D71" s="89" t="n">
        <f aca="false">SUM(D59:D70)</f>
        <v>0</v>
      </c>
      <c r="E71" s="89" t="n">
        <f aca="false">SUM(E59:E70)</f>
        <v>0</v>
      </c>
      <c r="F71" s="89" t="n">
        <f aca="false">C71-E71</f>
        <v>28289559.24625</v>
      </c>
      <c r="G71" s="90" t="n">
        <f aca="false">IFERROR(C71/INPUT!$B$19,0)</f>
        <v>31.7186284492724</v>
      </c>
      <c r="H71" s="90" t="n">
        <f aca="false">IFERROR(E71/INPUT!$B$19,0)</f>
        <v>0</v>
      </c>
      <c r="I71" s="91" t="n">
        <f aca="false">IFERROR(C71/INPUT!$B$37," ")</f>
        <v>0.0544927504316232</v>
      </c>
    </row>
    <row r="72" customFormat="false" ht="9.7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</row>
    <row r="73" customFormat="false" ht="25.5" hidden="false" customHeight="true" outlineLevel="0" collapsed="false">
      <c r="A73" s="92" t="s">
        <v>264</v>
      </c>
      <c r="B73" s="93" t="s">
        <v>265</v>
      </c>
      <c r="C73" s="94" t="n">
        <f aca="false">SUM(C15,C28,C43,C56,C71)</f>
        <v>187357309.24625</v>
      </c>
      <c r="D73" s="94" t="n">
        <f aca="false">SUM(D15,D28,D43,D56,D71)</f>
        <v>18000000</v>
      </c>
      <c r="E73" s="94" t="n">
        <f aca="false">SUM(E15,E28,E43,E56,E71)</f>
        <v>18000000</v>
      </c>
      <c r="F73" s="94" t="n">
        <f aca="false">C73-E73</f>
        <v>169357309.24625</v>
      </c>
      <c r="G73" s="95" t="n">
        <f aca="false">IFERROR(C73/INPUT!$B$19,0)</f>
        <v>210.06749619208</v>
      </c>
      <c r="H73" s="95" t="n">
        <f aca="false">IFERROR(E73/INPUT!$B$19,0)</f>
        <v>20.1818383636565</v>
      </c>
      <c r="I73" s="96" t="n">
        <f aca="false">IFERROR(C73/INPUT!B37,0)</f>
        <v>0.360896930398437</v>
      </c>
    </row>
    <row r="74" customFormat="false" ht="7.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</row>
    <row r="75" customFormat="false" ht="19.5" hidden="false" customHeight="true" outlineLevel="0" collapsed="false">
      <c r="A75" s="97"/>
      <c r="B75" s="98" t="s">
        <v>266</v>
      </c>
      <c r="C75" s="99" t="n">
        <f aca="false">INPUT!B37</f>
        <v>519143537.85</v>
      </c>
      <c r="D75" s="97"/>
      <c r="E75" s="97"/>
      <c r="F75" s="97"/>
      <c r="G75" s="100" t="n">
        <f aca="false">IFERROR(C75/INPUT!$B$19,0)</f>
        <v>582.070609356973</v>
      </c>
      <c r="H75" s="97"/>
      <c r="I75" s="97"/>
    </row>
    <row r="76" customFormat="false" ht="21.75" hidden="false" customHeight="true" outlineLevel="0" collapsed="false">
      <c r="A76" s="101" t="s">
        <v>267</v>
      </c>
      <c r="B76" s="18" t="s">
        <v>268</v>
      </c>
      <c r="C76" s="102" t="n">
        <f aca="false">C75-C73</f>
        <v>331786228.60375</v>
      </c>
      <c r="D76" s="24"/>
      <c r="E76" s="24"/>
      <c r="F76" s="24"/>
      <c r="G76" s="103" t="n">
        <f aca="false">IFERROR(C76/INPUT!$B$19,0)</f>
        <v>372.003113164894</v>
      </c>
      <c r="H76" s="24"/>
      <c r="I76" s="104" t="n">
        <f aca="false">IFERROR(C76/C75,0)</f>
        <v>0.639103069601563</v>
      </c>
    </row>
  </sheetData>
  <mergeCells count="13">
    <mergeCell ref="A1:I1"/>
    <mergeCell ref="A2:I2"/>
    <mergeCell ref="B5:D5"/>
    <mergeCell ref="A16:I16"/>
    <mergeCell ref="B17:D17"/>
    <mergeCell ref="A29:I29"/>
    <mergeCell ref="B30:D30"/>
    <mergeCell ref="A44:I44"/>
    <mergeCell ref="B45:D45"/>
    <mergeCell ref="A57:I57"/>
    <mergeCell ref="B58:D58"/>
    <mergeCell ref="A72:I72"/>
    <mergeCell ref="A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6" min="3" style="1" width="14"/>
    <col collapsed="false" customWidth="true" hidden="false" outlineLevel="0" max="7" min="7" style="1" width="16"/>
  </cols>
  <sheetData>
    <row r="1" customFormat="false" ht="24" hidden="false" customHeight="true" outlineLevel="0" collapsed="false">
      <c r="A1" s="2" t="s">
        <v>269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22" t="s">
        <v>270</v>
      </c>
      <c r="B2" s="22" t="s">
        <v>78</v>
      </c>
      <c r="C2" s="22" t="s">
        <v>79</v>
      </c>
      <c r="D2" s="22" t="s">
        <v>80</v>
      </c>
      <c r="E2" s="22" t="s">
        <v>271</v>
      </c>
      <c r="F2" s="22" t="s">
        <v>272</v>
      </c>
      <c r="G2" s="22" t="s">
        <v>82</v>
      </c>
    </row>
    <row r="3" customFormat="false" ht="21.75" hidden="false" customHeight="true" outlineLevel="0" collapsed="false">
      <c r="A3" s="32" t="s">
        <v>72</v>
      </c>
      <c r="B3" s="33" t="n">
        <f aca="false">INPUT!B37</f>
        <v>519143537.85</v>
      </c>
      <c r="C3" s="33" t="n">
        <f aca="false">INPUT!B37</f>
        <v>519143537.85</v>
      </c>
      <c r="D3" s="33" t="n">
        <f aca="false">INPUT!B37</f>
        <v>519143537.85</v>
      </c>
      <c r="E3" s="33" t="n">
        <f aca="false">B3-D3</f>
        <v>0</v>
      </c>
      <c r="F3" s="105" t="n">
        <f aca="false">IFERROR(B3/SUMMARY!$B$3,0)</f>
        <v>1</v>
      </c>
      <c r="G3" s="106" t="n">
        <f aca="false">IFERROR(B3/INPUT!$B$19,0)</f>
        <v>582.070609356973</v>
      </c>
    </row>
    <row r="4" customFormat="false" ht="18" hidden="false" customHeight="true" outlineLevel="0" collapsed="false">
      <c r="A4" s="107" t="s">
        <v>273</v>
      </c>
      <c r="B4" s="108" t="n">
        <f aca="false">COSTING!C15</f>
        <v>21464880</v>
      </c>
      <c r="C4" s="108" t="n">
        <f aca="false">COSTING!D15</f>
        <v>18000000</v>
      </c>
      <c r="D4" s="108" t="n">
        <f aca="false">COSTING!E15</f>
        <v>18000000</v>
      </c>
      <c r="E4" s="109" t="n">
        <f aca="false">B4-D4</f>
        <v>3464880</v>
      </c>
      <c r="F4" s="110" t="n">
        <f aca="false">IFERROR(B4/SUMMARY!$B$3,0)</f>
        <v>0.0413467151857373</v>
      </c>
      <c r="G4" s="111" t="n">
        <f aca="false">IFERROR(B4/INPUT!$B$19,0)</f>
        <v>24.0667077030713</v>
      </c>
    </row>
    <row r="5" customFormat="false" ht="18" hidden="false" customHeight="true" outlineLevel="0" collapsed="false">
      <c r="A5" s="112" t="s">
        <v>274</v>
      </c>
      <c r="B5" s="113" t="n">
        <f aca="false">COSTING!C28</f>
        <v>109998000</v>
      </c>
      <c r="C5" s="113" t="n">
        <f aca="false">COSTING!D28</f>
        <v>0</v>
      </c>
      <c r="D5" s="113" t="n">
        <f aca="false">COSTING!E28</f>
        <v>0</v>
      </c>
      <c r="E5" s="114" t="n">
        <f aca="false">B5-D5</f>
        <v>109998000</v>
      </c>
      <c r="F5" s="115" t="n">
        <f aca="false">IFERROR(B5/SUMMARY!$B$3,0)</f>
        <v>0.211883596693796</v>
      </c>
      <c r="G5" s="116" t="n">
        <f aca="false">IFERROR(B5/INPUT!$B$19,0)</f>
        <v>123.331214240305</v>
      </c>
    </row>
    <row r="6" customFormat="false" ht="18" hidden="false" customHeight="true" outlineLevel="0" collapsed="false">
      <c r="A6" s="117" t="s">
        <v>275</v>
      </c>
      <c r="B6" s="118" t="n">
        <f aca="false">COSTING!C43</f>
        <v>19057500</v>
      </c>
      <c r="C6" s="118" t="n">
        <f aca="false">COSTING!D43</f>
        <v>0</v>
      </c>
      <c r="D6" s="118" t="n">
        <f aca="false">COSTING!E43</f>
        <v>0</v>
      </c>
      <c r="E6" s="119" t="n">
        <f aca="false">B6-D6</f>
        <v>19057500</v>
      </c>
      <c r="F6" s="120" t="n">
        <f aca="false">IFERROR(B6/SUMMARY!$B$3,0)</f>
        <v>0.0367095005726652</v>
      </c>
      <c r="G6" s="121" t="n">
        <f aca="false">IFERROR(B6/INPUT!$B$19,0)</f>
        <v>21.3675213675214</v>
      </c>
    </row>
    <row r="7" customFormat="false" ht="18" hidden="false" customHeight="true" outlineLevel="0" collapsed="false">
      <c r="A7" s="122" t="s">
        <v>276</v>
      </c>
      <c r="B7" s="123" t="n">
        <f aca="false">COSTING!C56</f>
        <v>8547370</v>
      </c>
      <c r="C7" s="123" t="n">
        <f aca="false">COSTING!D56</f>
        <v>0</v>
      </c>
      <c r="D7" s="123" t="n">
        <f aca="false">COSTING!E56</f>
        <v>0</v>
      </c>
      <c r="E7" s="124" t="n">
        <f aca="false">B7-D7</f>
        <v>8547370</v>
      </c>
      <c r="F7" s="125" t="n">
        <f aca="false">IFERROR(B7/SUMMARY!$B$3,0)</f>
        <v>0.0164643675146153</v>
      </c>
      <c r="G7" s="126" t="n">
        <f aca="false">IFERROR(B7/INPUT!$B$19,0)</f>
        <v>9.58342443190928</v>
      </c>
    </row>
    <row r="8" customFormat="false" ht="18" hidden="false" customHeight="true" outlineLevel="0" collapsed="false">
      <c r="A8" s="127" t="s">
        <v>277</v>
      </c>
      <c r="B8" s="128" t="n">
        <f aca="false">COSTING!C71</f>
        <v>28289559.24625</v>
      </c>
      <c r="C8" s="128" t="n">
        <f aca="false">COSTING!D71</f>
        <v>0</v>
      </c>
      <c r="D8" s="128" t="n">
        <f aca="false">COSTING!E71</f>
        <v>0</v>
      </c>
      <c r="E8" s="129" t="n">
        <f aca="false">B8-D8</f>
        <v>28289559.24625</v>
      </c>
      <c r="F8" s="130" t="n">
        <f aca="false">IFERROR(B8/SUMMARY!$B$3,0)</f>
        <v>0.0544927504316232</v>
      </c>
      <c r="G8" s="131" t="n">
        <f aca="false">IFERROR(B8/INPUT!$B$19,0)</f>
        <v>31.7186284492724</v>
      </c>
    </row>
    <row r="9" customFormat="false" ht="21.75" hidden="false" customHeight="true" outlineLevel="0" collapsed="false">
      <c r="A9" s="132" t="s">
        <v>278</v>
      </c>
      <c r="B9" s="133" t="n">
        <f aca="false">COSTING!C73</f>
        <v>187357309.24625</v>
      </c>
      <c r="C9" s="133" t="n">
        <f aca="false">COSTING!D73</f>
        <v>18000000</v>
      </c>
      <c r="D9" s="133" t="n">
        <f aca="false">COSTING!E73</f>
        <v>18000000</v>
      </c>
      <c r="E9" s="134" t="n">
        <f aca="false">B9-D9</f>
        <v>169357309.24625</v>
      </c>
      <c r="F9" s="135" t="n">
        <f aca="false">IFERROR(B9/SUMMARY!$B$3,0)</f>
        <v>0.360896930398437</v>
      </c>
      <c r="G9" s="136" t="n">
        <f aca="false">IFERROR(B9/INPUT!$B$19,0)</f>
        <v>210.06749619208</v>
      </c>
    </row>
    <row r="10" customFormat="false" ht="21.75" hidden="false" customHeight="true" outlineLevel="0" collapsed="false">
      <c r="A10" s="32" t="s">
        <v>279</v>
      </c>
      <c r="B10" s="137" t="n">
        <f aca="false">B3-B9</f>
        <v>331786228.60375</v>
      </c>
      <c r="C10" s="137" t="n">
        <f aca="false">C3-C9</f>
        <v>501143537.85</v>
      </c>
      <c r="D10" s="137" t="n">
        <f aca="false">D3-D9</f>
        <v>501143537.85</v>
      </c>
      <c r="E10" s="33" t="n">
        <f aca="false">B10-D10</f>
        <v>-169357309.24625</v>
      </c>
      <c r="F10" s="105" t="n">
        <f aca="false">IFERROR(B10/SUMMARY!$B$3,0)</f>
        <v>0.639103069601563</v>
      </c>
      <c r="G10" s="106" t="n">
        <f aca="false">IFERROR(B10/INPUT!$B$19,0)</f>
        <v>372.003113164894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6"/>
    <col collapsed="false" customWidth="true" hidden="false" outlineLevel="0" max="5" min="5" style="1" width="22"/>
  </cols>
  <sheetData>
    <row r="1" customFormat="false" ht="21.75" hidden="false" customHeight="true" outlineLevel="0" collapsed="false">
      <c r="A1" s="138" t="s">
        <v>280</v>
      </c>
      <c r="B1" s="138"/>
      <c r="C1" s="138"/>
      <c r="D1" s="138"/>
      <c r="E1" s="138"/>
    </row>
    <row r="2" customFormat="false" ht="21.75" hidden="false" customHeight="true" outlineLevel="0" collapsed="false">
      <c r="A2" s="139" t="s">
        <v>270</v>
      </c>
      <c r="B2" s="139" t="s">
        <v>281</v>
      </c>
      <c r="C2" s="139" t="s">
        <v>282</v>
      </c>
      <c r="D2" s="139" t="s">
        <v>283</v>
      </c>
      <c r="E2" s="139" t="s">
        <v>284</v>
      </c>
    </row>
    <row r="3" customFormat="false" ht="16.5" hidden="false" customHeight="true" outlineLevel="0" collapsed="false">
      <c r="A3" s="47" t="s">
        <v>285</v>
      </c>
      <c r="B3" s="37"/>
      <c r="C3" s="37"/>
      <c r="D3" s="37"/>
      <c r="E3" s="140"/>
    </row>
    <row r="4" customFormat="false" ht="16.5" hidden="false" customHeight="true" outlineLevel="0" collapsed="false">
      <c r="A4" s="141" t="s">
        <v>286</v>
      </c>
      <c r="B4" s="142" t="n">
        <v>280</v>
      </c>
      <c r="C4" s="142" t="n">
        <v>350</v>
      </c>
      <c r="D4" s="142" t="n">
        <v>430</v>
      </c>
      <c r="E4" s="143" t="s">
        <v>287</v>
      </c>
    </row>
    <row r="5" customFormat="false" ht="16.5" hidden="false" customHeight="true" outlineLevel="0" collapsed="false">
      <c r="A5" s="141" t="s">
        <v>288</v>
      </c>
      <c r="B5" s="142" t="n">
        <v>380</v>
      </c>
      <c r="C5" s="142" t="n">
        <v>480</v>
      </c>
      <c r="D5" s="142" t="n">
        <v>600</v>
      </c>
      <c r="E5" s="143" t="s">
        <v>289</v>
      </c>
    </row>
    <row r="6" customFormat="false" ht="16.5" hidden="false" customHeight="true" outlineLevel="0" collapsed="false">
      <c r="A6" s="141" t="s">
        <v>290</v>
      </c>
      <c r="B6" s="142" t="n">
        <v>230</v>
      </c>
      <c r="C6" s="142" t="n">
        <v>290</v>
      </c>
      <c r="D6" s="142" t="n">
        <v>360</v>
      </c>
      <c r="E6" s="143" t="s">
        <v>291</v>
      </c>
    </row>
    <row r="7" customFormat="false" ht="16.5" hidden="false" customHeight="true" outlineLevel="0" collapsed="false">
      <c r="A7" s="141" t="s">
        <v>292</v>
      </c>
      <c r="B7" s="142" t="n">
        <v>150</v>
      </c>
      <c r="C7" s="142" t="n">
        <v>190</v>
      </c>
      <c r="D7" s="142" t="n">
        <v>240</v>
      </c>
      <c r="E7" s="143" t="s">
        <v>293</v>
      </c>
    </row>
    <row r="8" customFormat="false" ht="16.5" hidden="false" customHeight="true" outlineLevel="0" collapsed="false">
      <c r="A8" s="141" t="s">
        <v>294</v>
      </c>
      <c r="B8" s="142" t="n">
        <v>250</v>
      </c>
      <c r="C8" s="142" t="n">
        <v>320</v>
      </c>
      <c r="D8" s="142" t="n">
        <v>400</v>
      </c>
      <c r="E8" s="143" t="s">
        <v>295</v>
      </c>
    </row>
    <row r="9" customFormat="false" ht="16.5" hidden="false" customHeight="true" outlineLevel="0" collapsed="false">
      <c r="A9" s="141" t="s">
        <v>296</v>
      </c>
      <c r="B9" s="142" t="n">
        <v>80</v>
      </c>
      <c r="C9" s="142" t="n">
        <v>120</v>
      </c>
      <c r="D9" s="142" t="n">
        <v>160</v>
      </c>
      <c r="E9" s="143" t="s">
        <v>297</v>
      </c>
    </row>
    <row r="10" customFormat="false" ht="16.5" hidden="false" customHeight="true" outlineLevel="0" collapsed="false">
      <c r="A10" s="141" t="s">
        <v>298</v>
      </c>
      <c r="B10" s="142" t="n">
        <v>25000</v>
      </c>
      <c r="C10" s="142" t="n">
        <v>35000</v>
      </c>
      <c r="D10" s="142" t="n">
        <v>50000</v>
      </c>
      <c r="E10" s="143" t="s">
        <v>299</v>
      </c>
    </row>
    <row r="11" customFormat="false" ht="16.5" hidden="false" customHeight="true" outlineLevel="0" collapsed="false">
      <c r="A11" s="144"/>
      <c r="B11" s="145"/>
      <c r="C11" s="145"/>
      <c r="D11" s="145"/>
      <c r="E11" s="146"/>
    </row>
    <row r="12" customFormat="false" ht="16.5" hidden="false" customHeight="true" outlineLevel="0" collapsed="false">
      <c r="A12" s="132" t="s">
        <v>300</v>
      </c>
      <c r="B12" s="139"/>
      <c r="C12" s="139"/>
      <c r="D12" s="139"/>
      <c r="E12" s="147"/>
    </row>
    <row r="13" customFormat="false" ht="16.5" hidden="false" customHeight="true" outlineLevel="0" collapsed="false">
      <c r="A13" s="148" t="s">
        <v>301</v>
      </c>
      <c r="B13" s="149" t="s">
        <v>302</v>
      </c>
      <c r="C13" s="149" t="s">
        <v>303</v>
      </c>
      <c r="D13" s="149" t="s">
        <v>304</v>
      </c>
      <c r="E13" s="150" t="s">
        <v>305</v>
      </c>
    </row>
    <row r="14" customFormat="false" ht="16.5" hidden="false" customHeight="true" outlineLevel="0" collapsed="false">
      <c r="A14" s="148" t="s">
        <v>306</v>
      </c>
      <c r="B14" s="149" t="s">
        <v>307</v>
      </c>
      <c r="C14" s="149" t="s">
        <v>308</v>
      </c>
      <c r="D14" s="149" t="s">
        <v>309</v>
      </c>
      <c r="E14" s="150" t="s">
        <v>310</v>
      </c>
    </row>
    <row r="15" customFormat="false" ht="16.5" hidden="false" customHeight="true" outlineLevel="0" collapsed="false">
      <c r="A15" s="148" t="s">
        <v>311</v>
      </c>
      <c r="B15" s="149" t="s">
        <v>312</v>
      </c>
      <c r="C15" s="149" t="s">
        <v>313</v>
      </c>
      <c r="D15" s="149" t="s">
        <v>302</v>
      </c>
      <c r="E15" s="150" t="s">
        <v>314</v>
      </c>
    </row>
    <row r="16" customFormat="false" ht="16.5" hidden="false" customHeight="true" outlineLevel="0" collapsed="false">
      <c r="A16" s="148" t="s">
        <v>315</v>
      </c>
      <c r="B16" s="149" t="s">
        <v>316</v>
      </c>
      <c r="C16" s="149" t="s">
        <v>317</v>
      </c>
      <c r="D16" s="149" t="s">
        <v>318</v>
      </c>
      <c r="E16" s="150" t="s">
        <v>319</v>
      </c>
    </row>
    <row r="17" customFormat="false" ht="16.5" hidden="false" customHeight="true" outlineLevel="0" collapsed="false">
      <c r="A17" s="148" t="s">
        <v>320</v>
      </c>
      <c r="B17" s="149" t="s">
        <v>321</v>
      </c>
      <c r="C17" s="149" t="s">
        <v>312</v>
      </c>
      <c r="D17" s="149" t="s">
        <v>322</v>
      </c>
      <c r="E17" s="150" t="s">
        <v>323</v>
      </c>
    </row>
    <row r="18" customFormat="false" ht="16.5" hidden="false" customHeight="true" outlineLevel="0" collapsed="false">
      <c r="A18" s="148" t="s">
        <v>324</v>
      </c>
      <c r="B18" s="149" t="s">
        <v>325</v>
      </c>
      <c r="C18" s="149" t="s">
        <v>326</v>
      </c>
      <c r="D18" s="149" t="s">
        <v>327</v>
      </c>
      <c r="E18" s="150" t="s">
        <v>328</v>
      </c>
    </row>
    <row r="19" customFormat="false" ht="16.5" hidden="false" customHeight="true" outlineLevel="0" collapsed="false">
      <c r="A19" s="144"/>
      <c r="B19" s="145"/>
      <c r="C19" s="145"/>
      <c r="D19" s="145"/>
      <c r="E19" s="146"/>
    </row>
    <row r="20" customFormat="false" ht="16.5" hidden="false" customHeight="true" outlineLevel="0" collapsed="false">
      <c r="A20" s="32" t="s">
        <v>329</v>
      </c>
      <c r="B20" s="23"/>
      <c r="C20" s="23"/>
      <c r="D20" s="23"/>
      <c r="E20" s="151"/>
    </row>
    <row r="21" customFormat="false" ht="16.5" hidden="false" customHeight="true" outlineLevel="0" collapsed="false">
      <c r="A21" s="152" t="s">
        <v>330</v>
      </c>
      <c r="B21" s="153" t="s">
        <v>331</v>
      </c>
      <c r="C21" s="153" t="s">
        <v>332</v>
      </c>
      <c r="D21" s="153" t="s">
        <v>333</v>
      </c>
      <c r="E21" s="154" t="s">
        <v>334</v>
      </c>
    </row>
    <row r="22" customFormat="false" ht="16.5" hidden="false" customHeight="true" outlineLevel="0" collapsed="false">
      <c r="A22" s="152" t="s">
        <v>335</v>
      </c>
      <c r="B22" s="153" t="s">
        <v>336</v>
      </c>
      <c r="C22" s="153" t="s">
        <v>337</v>
      </c>
      <c r="D22" s="153" t="s">
        <v>338</v>
      </c>
      <c r="E22" s="154" t="s">
        <v>339</v>
      </c>
    </row>
    <row r="23" customFormat="false" ht="16.5" hidden="false" customHeight="true" outlineLevel="0" collapsed="false">
      <c r="A23" s="152" t="s">
        <v>340</v>
      </c>
      <c r="B23" s="153" t="s">
        <v>341</v>
      </c>
      <c r="C23" s="153" t="s">
        <v>342</v>
      </c>
      <c r="D23" s="153" t="s">
        <v>326</v>
      </c>
      <c r="E23" s="154" t="s">
        <v>343</v>
      </c>
    </row>
    <row r="24" customFormat="false" ht="16.5" hidden="false" customHeight="true" outlineLevel="0" collapsed="false">
      <c r="A24" s="152" t="s">
        <v>344</v>
      </c>
      <c r="B24" s="153" t="s">
        <v>345</v>
      </c>
      <c r="C24" s="153" t="s">
        <v>346</v>
      </c>
      <c r="D24" s="153" t="s">
        <v>336</v>
      </c>
      <c r="E24" s="154" t="s">
        <v>347</v>
      </c>
    </row>
    <row r="25" customFormat="false" ht="16.5" hidden="false" customHeight="true" outlineLevel="0" collapsed="false">
      <c r="A25" s="144"/>
      <c r="B25" s="145"/>
      <c r="C25" s="145"/>
      <c r="D25" s="145"/>
      <c r="E25" s="146"/>
    </row>
    <row r="26" customFormat="false" ht="16.5" hidden="false" customHeight="true" outlineLevel="0" collapsed="false">
      <c r="A26" s="75" t="s">
        <v>348</v>
      </c>
      <c r="B26" s="65"/>
      <c r="C26" s="65"/>
      <c r="D26" s="65"/>
      <c r="E26" s="155"/>
    </row>
    <row r="27" customFormat="false" ht="16.5" hidden="false" customHeight="true" outlineLevel="0" collapsed="false">
      <c r="A27" s="156" t="s">
        <v>349</v>
      </c>
      <c r="B27" s="157" t="s">
        <v>350</v>
      </c>
      <c r="C27" s="157" t="s">
        <v>351</v>
      </c>
      <c r="D27" s="157" t="s">
        <v>352</v>
      </c>
      <c r="E27" s="158" t="s">
        <v>353</v>
      </c>
    </row>
    <row r="28" customFormat="false" ht="16.5" hidden="false" customHeight="true" outlineLevel="0" collapsed="false">
      <c r="A28" s="156" t="s">
        <v>354</v>
      </c>
      <c r="B28" s="157" t="s">
        <v>355</v>
      </c>
      <c r="C28" s="157" t="s">
        <v>356</v>
      </c>
      <c r="D28" s="157" t="s">
        <v>357</v>
      </c>
      <c r="E28" s="158" t="s">
        <v>358</v>
      </c>
    </row>
    <row r="29" customFormat="false" ht="16.5" hidden="false" customHeight="true" outlineLevel="0" collapsed="false">
      <c r="A29" s="156" t="s">
        <v>359</v>
      </c>
      <c r="B29" s="157" t="s">
        <v>355</v>
      </c>
      <c r="C29" s="157" t="s">
        <v>356</v>
      </c>
      <c r="D29" s="157" t="s">
        <v>357</v>
      </c>
      <c r="E29" s="158" t="s">
        <v>360</v>
      </c>
    </row>
    <row r="30" customFormat="false" ht="16.5" hidden="false" customHeight="true" outlineLevel="0" collapsed="false">
      <c r="A30" s="156" t="s">
        <v>361</v>
      </c>
      <c r="B30" s="157" t="s">
        <v>362</v>
      </c>
      <c r="C30" s="157" t="s">
        <v>355</v>
      </c>
      <c r="D30" s="157" t="s">
        <v>363</v>
      </c>
      <c r="E30" s="158" t="s">
        <v>353</v>
      </c>
    </row>
    <row r="31" customFormat="false" ht="16.5" hidden="false" customHeight="true" outlineLevel="0" collapsed="false">
      <c r="A31" s="144"/>
      <c r="B31" s="145"/>
      <c r="C31" s="145"/>
      <c r="D31" s="145"/>
      <c r="E31" s="146"/>
    </row>
    <row r="32" customFormat="false" ht="16.5" hidden="false" customHeight="true" outlineLevel="0" collapsed="false">
      <c r="A32" s="88" t="s">
        <v>364</v>
      </c>
      <c r="B32" s="79"/>
      <c r="C32" s="79"/>
      <c r="D32" s="79"/>
      <c r="E32" s="159"/>
    </row>
    <row r="33" customFormat="false" ht="16.5" hidden="false" customHeight="true" outlineLevel="0" collapsed="false">
      <c r="A33" s="160" t="s">
        <v>365</v>
      </c>
      <c r="B33" s="161" t="s">
        <v>366</v>
      </c>
      <c r="C33" s="161" t="s">
        <v>367</v>
      </c>
      <c r="D33" s="161" t="s">
        <v>368</v>
      </c>
      <c r="E33" s="162" t="s">
        <v>369</v>
      </c>
    </row>
    <row r="34" customFormat="false" ht="16.5" hidden="false" customHeight="true" outlineLevel="0" collapsed="false">
      <c r="A34" s="160" t="s">
        <v>370</v>
      </c>
      <c r="B34" s="161" t="s">
        <v>345</v>
      </c>
      <c r="C34" s="161" t="s">
        <v>371</v>
      </c>
      <c r="D34" s="161" t="s">
        <v>342</v>
      </c>
      <c r="E34" s="162" t="s">
        <v>372</v>
      </c>
    </row>
    <row r="35" customFormat="false" ht="16.5" hidden="false" customHeight="true" outlineLevel="0" collapsed="false">
      <c r="A35" s="160" t="s">
        <v>373</v>
      </c>
      <c r="B35" s="161" t="s">
        <v>374</v>
      </c>
      <c r="C35" s="161" t="s">
        <v>350</v>
      </c>
      <c r="D35" s="161" t="s">
        <v>351</v>
      </c>
      <c r="E35" s="162" t="s">
        <v>375</v>
      </c>
    </row>
    <row r="36" customFormat="false" ht="16.5" hidden="false" customHeight="true" outlineLevel="0" collapsed="false">
      <c r="A36" s="160" t="s">
        <v>376</v>
      </c>
      <c r="B36" s="161" t="s">
        <v>377</v>
      </c>
      <c r="C36" s="161" t="s">
        <v>378</v>
      </c>
      <c r="D36" s="161" t="s">
        <v>362</v>
      </c>
      <c r="E36" s="162" t="s">
        <v>379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2026-06-11T08:40:39Z</dcterms:created>
  <dc:creator>openpyxl</dc:creator>
  <dc:description/>
  <dc:language>en-US</dc:language>
  <cp:lastModifiedBy/>
  <dcterms:modified xsi:type="dcterms:W3CDTF">2026-06-11T08:41:13Z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