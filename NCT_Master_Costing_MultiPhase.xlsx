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MASTER" sheetId="1" state="visible" r:id="rId1"/>
    <sheet name="P1_INPUT" sheetId="2" state="visible" r:id="rId2"/>
    <sheet name="P1_COSTING" sheetId="3" state="visible" r:id="rId3"/>
    <sheet name="P1_CASHFLOW" sheetId="4" state="visible" r:id="rId4"/>
    <sheet name="P2_INPUT" sheetId="5" state="visible" r:id="rId5"/>
    <sheet name="P2_COSTING" sheetId="6" state="visible" r:id="rId6"/>
    <sheet name="P3_INPUT" sheetId="7" state="visible" r:id="rId7"/>
    <sheet name="P3_COSTING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#,##0;\(#,##0\);\-"/>
    <numFmt numFmtId="165" formatCode="0.0%;\(0.0%\);\-"/>
    <numFmt numFmtId="166" formatCode="#,##0.00;\(#,##0.00\);\-"/>
    <numFmt numFmtId="167" formatCode="0.0%"/>
  </numFmts>
  <fonts count="4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2"/>
    </font>
    <font>
      <name val="Noto Sans CJK SC"/>
      <family val="2"/>
      <b val="1"/>
      <color rgb="FFFFFFFF"/>
      <sz val="12"/>
    </font>
    <font>
      <name val="Arial"/>
      <charset val="1"/>
      <family val="0"/>
      <color rgb="FFFFFFFF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color rgb="FF222222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222222"/>
      <sz val="10"/>
    </font>
    <font>
      <name val="Arial"/>
      <charset val="1"/>
      <family val="0"/>
      <color rgb="FF888888"/>
      <sz val="9"/>
    </font>
    <font>
      <name val="Arial"/>
      <charset val="1"/>
      <family val="0"/>
      <b val="1"/>
      <color rgb="FF0F6E56"/>
      <sz val="10"/>
    </font>
    <font>
      <name val="Arial"/>
      <charset val="1"/>
      <family val="0"/>
      <b val="1"/>
      <color rgb="FF008000"/>
      <sz val="10"/>
    </font>
    <font>
      <name val="Arial"/>
      <charset val="1"/>
      <family val="0"/>
      <color rgb="FF0F6E56"/>
      <sz val="10"/>
    </font>
    <font>
      <name val="Arial"/>
      <charset val="1"/>
      <family val="0"/>
      <color rgb="FF854F0B"/>
      <sz val="10"/>
    </font>
    <font>
      <name val="Arial"/>
      <charset val="1"/>
      <family val="0"/>
      <b val="1"/>
      <color rgb="FF854F0B"/>
      <sz val="10"/>
    </font>
    <font>
      <name val="Arial"/>
      <charset val="1"/>
      <family val="0"/>
      <color rgb="FF993C1D"/>
      <sz val="10"/>
    </font>
    <font>
      <name val="Arial"/>
      <charset val="1"/>
      <family val="0"/>
      <b val="1"/>
      <color rgb="FF993C1D"/>
      <sz val="10"/>
    </font>
    <font>
      <name val="Arial"/>
      <charset val="1"/>
      <family val="0"/>
      <color rgb="FF534AB7"/>
      <sz val="10"/>
    </font>
    <font>
      <name val="Arial"/>
      <charset val="1"/>
      <family val="0"/>
      <b val="1"/>
      <color rgb="FF534AB7"/>
      <sz val="10"/>
    </font>
    <font>
      <name val="Arial"/>
      <charset val="1"/>
      <family val="0"/>
      <color rgb="FF185FA5"/>
      <sz val="10"/>
    </font>
    <font>
      <name val="Arial"/>
      <charset val="1"/>
      <family val="0"/>
      <b val="1"/>
      <color rgb="FF185FA5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F6E56"/>
      <sz val="11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FF"/>
      <sz val="10"/>
    </font>
    <font>
      <name val="Noto Sans CJK SC"/>
      <family val="2"/>
      <b val="1"/>
      <color rgb="FF0000FF"/>
      <sz val="10"/>
    </font>
    <font>
      <name val="Arial"/>
      <charset val="1"/>
      <family val="0"/>
      <i val="1"/>
      <color rgb="FF888888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i val="1"/>
      <color rgb="FFFFFFFF"/>
      <sz val="10"/>
    </font>
    <font>
      <name val="Arial"/>
      <charset val="1"/>
      <family val="0"/>
      <color rgb="FF999999"/>
      <sz val="10"/>
    </font>
    <font>
      <name val="Arial"/>
      <charset val="1"/>
      <family val="0"/>
      <b val="1"/>
      <color rgb="FF999999"/>
      <sz val="10"/>
    </font>
    <font>
      <b val="1"/>
      <sz val="13"/>
    </font>
    <font>
      <i val="1"/>
      <color rgb="00666666"/>
      <sz val="9"/>
    </font>
    <font>
      <b val="1"/>
      <color rgb="00FFFFFF"/>
    </font>
    <font>
      <b val="1"/>
    </font>
    <font/>
    <font>
      <color rgb="00000000"/>
    </font>
    <font>
      <color rgb="000000CC"/>
    </font>
    <font>
      <color rgb="00666666"/>
      <sz val="9"/>
    </font>
    <font>
      <i val="1"/>
    </font>
    <font>
      <color rgb="00006100"/>
    </font>
    <font>
      <i val="1"/>
      <color rgb="00C00000"/>
      <sz val="9"/>
    </font>
  </fonts>
  <fills count="20">
    <fill>
      <patternFill/>
    </fill>
    <fill>
      <patternFill patternType="gray125"/>
    </fill>
    <fill>
      <patternFill patternType="solid">
        <fgColor rgb="FF1B2A4A"/>
        <bgColor rgb="FF222222"/>
      </patternFill>
    </fill>
    <fill>
      <patternFill patternType="solid">
        <fgColor rgb="FF0F6E56"/>
        <bgColor rgb="FF008080"/>
      </patternFill>
    </fill>
    <fill>
      <patternFill patternType="solid">
        <fgColor rgb="FF854F0B"/>
        <bgColor rgb="FF993C1D"/>
      </patternFill>
    </fill>
    <fill>
      <patternFill patternType="solid">
        <fgColor rgb="FF888888"/>
        <bgColor rgb="FF999999"/>
      </patternFill>
    </fill>
    <fill>
      <patternFill patternType="solid">
        <fgColor rgb="FFFFFFFF"/>
        <bgColor rgb="FFF7F7F7"/>
      </patternFill>
    </fill>
    <fill>
      <patternFill patternType="solid">
        <fgColor rgb="FFF7F7F7"/>
        <bgColor rgb="FFF2F2F2"/>
      </patternFill>
    </fill>
    <fill>
      <patternFill patternType="solid">
        <fgColor rgb="FFE1F5EE"/>
        <bgColor rgb="FFE6F1FB"/>
      </patternFill>
    </fill>
    <fill>
      <patternFill patternType="solid">
        <fgColor rgb="FFFAEEDA"/>
        <bgColor rgb="FFFAECE7"/>
      </patternFill>
    </fill>
    <fill>
      <patternFill patternType="solid">
        <fgColor rgb="FFFAECE7"/>
        <bgColor rgb="FFFAEEDA"/>
      </patternFill>
    </fill>
    <fill>
      <patternFill patternType="solid">
        <fgColor rgb="FFEEEDFE"/>
        <bgColor rgb="FFE6F1FB"/>
      </patternFill>
    </fill>
    <fill>
      <patternFill patternType="solid">
        <fgColor rgb="FFE6F1FB"/>
        <bgColor rgb="FFEEEDFE"/>
      </patternFill>
    </fill>
    <fill>
      <patternFill patternType="solid">
        <fgColor rgb="FFF2F2F2"/>
        <bgColor rgb="FFF7F7F7"/>
      </patternFill>
    </fill>
    <fill>
      <patternFill patternType="solid">
        <fgColor rgb="FF185FA5"/>
        <bgColor rgb="FF0F6E56"/>
      </patternFill>
    </fill>
    <fill>
      <patternFill patternType="solid">
        <fgColor rgb="FF993C1D"/>
        <bgColor rgb="FF854F0B"/>
      </patternFill>
    </fill>
    <fill>
      <patternFill patternType="solid">
        <fgColor rgb="FF534AB7"/>
        <bgColor rgb="FF333399"/>
      </patternFill>
    </fill>
    <fill>
      <patternFill patternType="solid">
        <fgColor rgb="001A1A1A"/>
      </patternFill>
    </fill>
    <fill>
      <patternFill patternType="solid">
        <fgColor rgb="00D9D9D9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2" fontId="11" fillId="6" borderId="1" applyAlignment="1" pivotButton="0" quotePrefix="0" xfId="0">
      <alignment horizontal="right" vertical="center"/>
    </xf>
    <xf numFmtId="2" fontId="12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right" vertical="center"/>
    </xf>
    <xf numFmtId="164" fontId="11" fillId="6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0" fontId="0" fillId="7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164" fontId="15" fillId="8" borderId="1" applyAlignment="1" pivotButton="0" quotePrefix="0" xfId="0">
      <alignment horizontal="right" vertical="center"/>
    </xf>
    <xf numFmtId="164" fontId="14" fillId="8" borderId="1" applyAlignment="1" pivotButton="0" quotePrefix="0" xfId="0">
      <alignment horizontal="right" vertical="center"/>
    </xf>
    <xf numFmtId="165" fontId="13" fillId="8" borderId="1" applyAlignment="1" pivotButton="0" quotePrefix="0" xfId="0">
      <alignment horizontal="right" vertical="center"/>
    </xf>
    <xf numFmtId="0" fontId="16" fillId="8" borderId="1" applyAlignment="1" pivotButton="0" quotePrefix="0" xfId="0">
      <alignment horizontal="left" vertical="center"/>
    </xf>
    <xf numFmtId="164" fontId="11" fillId="8" borderId="1" applyAlignment="1" pivotButton="0" quotePrefix="0" xfId="0">
      <alignment horizontal="right" vertical="center"/>
    </xf>
    <xf numFmtId="0" fontId="17" fillId="9" borderId="1" applyAlignment="1" pivotButton="0" quotePrefix="0" xfId="0">
      <alignment horizontal="left" vertical="center"/>
    </xf>
    <xf numFmtId="164" fontId="11" fillId="9" borderId="1" applyAlignment="1" pivotButton="0" quotePrefix="0" xfId="0">
      <alignment horizontal="right" vertical="center"/>
    </xf>
    <xf numFmtId="164" fontId="18" fillId="9" borderId="1" applyAlignment="1" pivotButton="0" quotePrefix="0" xfId="0">
      <alignment horizontal="right" vertical="center"/>
    </xf>
    <xf numFmtId="165" fontId="13" fillId="9" borderId="1" applyAlignment="1" pivotButton="0" quotePrefix="0" xfId="0">
      <alignment horizontal="right" vertical="center"/>
    </xf>
    <xf numFmtId="0" fontId="19" fillId="10" borderId="1" applyAlignment="1" pivotButton="0" quotePrefix="0" xfId="0">
      <alignment horizontal="left" vertical="center"/>
    </xf>
    <xf numFmtId="164" fontId="11" fillId="10" borderId="1" applyAlignment="1" pivotButton="0" quotePrefix="0" xfId="0">
      <alignment horizontal="right" vertical="center"/>
    </xf>
    <xf numFmtId="164" fontId="20" fillId="10" borderId="1" applyAlignment="1" pivotButton="0" quotePrefix="0" xfId="0">
      <alignment horizontal="right" vertical="center"/>
    </xf>
    <xf numFmtId="165" fontId="13" fillId="10" borderId="1" applyAlignment="1" pivotButton="0" quotePrefix="0" xfId="0">
      <alignment horizontal="right" vertical="center"/>
    </xf>
    <xf numFmtId="0" fontId="21" fillId="11" borderId="1" applyAlignment="1" pivotButton="0" quotePrefix="0" xfId="0">
      <alignment horizontal="left" vertical="center"/>
    </xf>
    <xf numFmtId="164" fontId="11" fillId="11" borderId="1" applyAlignment="1" pivotButton="0" quotePrefix="0" xfId="0">
      <alignment horizontal="right" vertical="center"/>
    </xf>
    <xf numFmtId="164" fontId="22" fillId="11" borderId="1" applyAlignment="1" pivotButton="0" quotePrefix="0" xfId="0">
      <alignment horizontal="right" vertical="center"/>
    </xf>
    <xf numFmtId="165" fontId="13" fillId="11" borderId="1" applyAlignment="1" pivotButton="0" quotePrefix="0" xfId="0">
      <alignment horizontal="right" vertical="center"/>
    </xf>
    <xf numFmtId="0" fontId="23" fillId="12" borderId="1" applyAlignment="1" pivotButton="0" quotePrefix="0" xfId="0">
      <alignment horizontal="left" vertical="center"/>
    </xf>
    <xf numFmtId="164" fontId="11" fillId="12" borderId="1" applyAlignment="1" pivotButton="0" quotePrefix="0" xfId="0">
      <alignment horizontal="right" vertical="center"/>
    </xf>
    <xf numFmtId="164" fontId="24" fillId="12" borderId="1" applyAlignment="1" pivotButton="0" quotePrefix="0" xfId="0">
      <alignment horizontal="right" vertical="center"/>
    </xf>
    <xf numFmtId="165" fontId="13" fillId="12" borderId="1" applyAlignment="1" pivotButton="0" quotePrefix="0" xfId="0">
      <alignment horizontal="right" vertical="center"/>
    </xf>
    <xf numFmtId="0" fontId="25" fillId="2" borderId="1" applyAlignment="1" pivotButton="0" quotePrefix="0" xfId="0">
      <alignment horizontal="left" vertical="center"/>
    </xf>
    <xf numFmtId="164" fontId="25" fillId="2" borderId="1" applyAlignment="1" pivotButton="0" quotePrefix="0" xfId="0">
      <alignment horizontal="right" vertical="center"/>
    </xf>
    <xf numFmtId="165" fontId="8" fillId="2" borderId="1" applyAlignment="1" pivotButton="0" quotePrefix="0" xfId="0">
      <alignment horizontal="right" vertical="center"/>
    </xf>
    <xf numFmtId="0" fontId="26" fillId="8" borderId="1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165" fontId="14" fillId="8" borderId="1" applyAlignment="1" pivotButton="0" quotePrefix="0" xfId="0">
      <alignment horizontal="right" vertical="center"/>
    </xf>
    <xf numFmtId="0" fontId="27" fillId="13" borderId="1" applyAlignment="1" pivotButton="0" quotePrefix="0" xfId="0">
      <alignment horizontal="left" vertical="center"/>
    </xf>
    <xf numFmtId="165" fontId="14" fillId="13" borderId="1" applyAlignment="1" pivotButton="0" quotePrefix="0" xfId="0">
      <alignment horizontal="right" vertical="center"/>
    </xf>
    <xf numFmtId="0" fontId="0" fillId="13" borderId="1" applyAlignment="1" pivotButton="0" quotePrefix="0" xfId="0">
      <alignment horizontal="general" vertical="bottom"/>
    </xf>
    <xf numFmtId="165" fontId="10" fillId="13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27" fillId="6" borderId="1" applyAlignment="1" pivotButton="0" quotePrefix="0" xfId="0">
      <alignment horizontal="left" vertical="center"/>
    </xf>
    <xf numFmtId="0" fontId="28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left" vertical="center"/>
    </xf>
    <xf numFmtId="0" fontId="30" fillId="6" borderId="1" applyAlignment="1" pivotButton="0" quotePrefix="0" xfId="0">
      <alignment horizontal="left" vertical="center" wrapText="1"/>
    </xf>
    <xf numFmtId="0" fontId="27" fillId="8" borderId="1" applyAlignment="1" pivotButton="0" quotePrefix="0" xfId="0">
      <alignment horizontal="left" vertical="center"/>
    </xf>
    <xf numFmtId="0" fontId="28" fillId="8" borderId="1" applyAlignment="1" pivotButton="0" quotePrefix="0" xfId="0">
      <alignment horizontal="right" vertical="center"/>
    </xf>
    <xf numFmtId="0" fontId="13" fillId="8" borderId="1" applyAlignment="1" pivotButton="0" quotePrefix="0" xfId="0">
      <alignment horizontal="left" vertical="center"/>
    </xf>
    <xf numFmtId="0" fontId="30" fillId="8" borderId="1" applyAlignment="1" pivotButton="0" quotePrefix="0" xfId="0">
      <alignment horizontal="left" vertical="center" wrapText="1"/>
    </xf>
    <xf numFmtId="164" fontId="31" fillId="8" borderId="1" applyAlignment="1" pivotButton="0" quotePrefix="0" xfId="0">
      <alignment horizontal="right" vertical="center"/>
    </xf>
    <xf numFmtId="0" fontId="8" fillId="14" borderId="1" applyAlignment="1" pivotButton="0" quotePrefix="0" xfId="0">
      <alignment horizontal="left" vertical="center"/>
    </xf>
    <xf numFmtId="0" fontId="27" fillId="12" borderId="1" applyAlignment="1" pivotButton="0" quotePrefix="0" xfId="0">
      <alignment horizontal="left" vertical="center"/>
    </xf>
    <xf numFmtId="0" fontId="28" fillId="12" borderId="1" applyAlignment="1" pivotButton="0" quotePrefix="0" xfId="0">
      <alignment horizontal="right" vertical="center"/>
    </xf>
    <xf numFmtId="0" fontId="13" fillId="12" borderId="1" applyAlignment="1" pivotButton="0" quotePrefix="0" xfId="0">
      <alignment horizontal="left" vertical="center"/>
    </xf>
    <xf numFmtId="0" fontId="30" fillId="12" borderId="1" applyAlignment="1" pivotButton="0" quotePrefix="0" xfId="0">
      <alignment horizontal="left" vertical="center" wrapText="1"/>
    </xf>
    <xf numFmtId="164" fontId="31" fillId="12" borderId="1" applyAlignment="1" pivotButton="0" quotePrefix="0" xfId="0">
      <alignment horizontal="right" vertical="center"/>
    </xf>
    <xf numFmtId="0" fontId="25" fillId="3" borderId="1" applyAlignment="1" pivotButton="0" quotePrefix="0" xfId="0">
      <alignment horizontal="left" vertical="center"/>
    </xf>
    <xf numFmtId="164" fontId="25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general" vertical="bottom"/>
    </xf>
    <xf numFmtId="0" fontId="32" fillId="3" borderId="1" applyAlignment="1" pivotButton="0" quotePrefix="0" xfId="0">
      <alignment horizontal="left" vertical="bottom" wrapText="1"/>
    </xf>
    <xf numFmtId="0" fontId="8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bottom"/>
    </xf>
    <xf numFmtId="0" fontId="32" fillId="3" borderId="1" applyAlignment="1" pivotButton="0" quotePrefix="0" xfId="0">
      <alignment horizontal="right" vertical="center"/>
    </xf>
    <xf numFmtId="0" fontId="13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general" vertical="bottom"/>
    </xf>
    <xf numFmtId="164" fontId="28" fillId="8" borderId="1" applyAlignment="1" pivotButton="0" quotePrefix="0" xfId="0">
      <alignment horizontal="right" vertical="center"/>
    </xf>
    <xf numFmtId="166" fontId="11" fillId="8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166" fontId="8" fillId="3" borderId="1" applyAlignment="1" pivotButton="0" quotePrefix="0" xfId="0">
      <alignment horizontal="right" vertical="center"/>
    </xf>
    <xf numFmtId="165" fontId="33" fillId="3" borderId="1" applyAlignment="1" pivotButton="0" quotePrefix="0" xfId="0">
      <alignment horizontal="right" vertical="center"/>
    </xf>
    <xf numFmtId="0" fontId="0" fillId="7" borderId="2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general" vertical="bottom"/>
    </xf>
    <xf numFmtId="0" fontId="32" fillId="4" borderId="1" applyAlignment="1" pivotButton="0" quotePrefix="0" xfId="0">
      <alignment horizontal="right" vertical="center"/>
    </xf>
    <xf numFmtId="0" fontId="13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general" vertical="bottom"/>
    </xf>
    <xf numFmtId="164" fontId="28" fillId="9" borderId="1" applyAlignment="1" pivotButton="0" quotePrefix="0" xfId="0">
      <alignment horizontal="right" vertical="center"/>
    </xf>
    <xf numFmtId="164" fontId="31" fillId="9" borderId="1" applyAlignment="1" pivotButton="0" quotePrefix="0" xfId="0">
      <alignment horizontal="right" vertical="center"/>
    </xf>
    <xf numFmtId="166" fontId="11" fillId="9" borderId="1" applyAlignment="1" pivotButton="0" quotePrefix="0" xfId="0">
      <alignment horizontal="right" vertical="center"/>
    </xf>
    <xf numFmtId="0" fontId="30" fillId="9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right" vertical="center"/>
    </xf>
    <xf numFmtId="166" fontId="8" fillId="4" borderId="1" applyAlignment="1" pivotButton="0" quotePrefix="0" xfId="0">
      <alignment horizontal="right" vertical="center"/>
    </xf>
    <xf numFmtId="165" fontId="33" fillId="4" borderId="1" applyAlignment="1" pivotButton="0" quotePrefix="0" xfId="0">
      <alignment horizontal="right" vertical="center"/>
    </xf>
    <xf numFmtId="0" fontId="8" fillId="15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left" vertical="center"/>
    </xf>
    <xf numFmtId="0" fontId="0" fillId="15" borderId="1" applyAlignment="1" pivotButton="0" quotePrefix="0" xfId="0">
      <alignment horizontal="general" vertical="bottom"/>
    </xf>
    <xf numFmtId="0" fontId="32" fillId="15" borderId="1" applyAlignment="1" pivotButton="0" quotePrefix="0" xfId="0">
      <alignment horizontal="right" vertical="center"/>
    </xf>
    <xf numFmtId="0" fontId="13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general" vertical="bottom"/>
    </xf>
    <xf numFmtId="164" fontId="28" fillId="10" borderId="1" applyAlignment="1" pivotButton="0" quotePrefix="0" xfId="0">
      <alignment horizontal="right" vertical="center"/>
    </xf>
    <xf numFmtId="164" fontId="31" fillId="10" borderId="1" applyAlignment="1" pivotButton="0" quotePrefix="0" xfId="0">
      <alignment horizontal="right" vertical="center"/>
    </xf>
    <xf numFmtId="166" fontId="11" fillId="10" borderId="1" applyAlignment="1" pivotButton="0" quotePrefix="0" xfId="0">
      <alignment horizontal="right" vertical="center"/>
    </xf>
    <xf numFmtId="0" fontId="30" fillId="10" borderId="1" applyAlignment="1" pivotButton="0" quotePrefix="0" xfId="0">
      <alignment horizontal="left" vertical="center" wrapText="1"/>
    </xf>
    <xf numFmtId="164" fontId="8" fillId="15" borderId="1" applyAlignment="1" pivotButton="0" quotePrefix="0" xfId="0">
      <alignment horizontal="right" vertical="center"/>
    </xf>
    <xf numFmtId="166" fontId="8" fillId="15" borderId="1" applyAlignment="1" pivotButton="0" quotePrefix="0" xfId="0">
      <alignment horizontal="right" vertical="center"/>
    </xf>
    <xf numFmtId="165" fontId="33" fillId="15" borderId="1" applyAlignment="1" pivotButton="0" quotePrefix="0" xfId="0">
      <alignment horizontal="right" vertical="center"/>
    </xf>
    <xf numFmtId="0" fontId="8" fillId="16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left" vertical="center"/>
    </xf>
    <xf numFmtId="0" fontId="0" fillId="16" borderId="1" applyAlignment="1" pivotButton="0" quotePrefix="0" xfId="0">
      <alignment horizontal="general" vertical="bottom"/>
    </xf>
    <xf numFmtId="0" fontId="32" fillId="16" borderId="1" applyAlignment="1" pivotButton="0" quotePrefix="0" xfId="0">
      <alignment horizontal="right" vertical="center"/>
    </xf>
    <xf numFmtId="0" fontId="13" fillId="11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general" vertical="bottom"/>
    </xf>
    <xf numFmtId="164" fontId="31" fillId="11" borderId="1" applyAlignment="1" pivotButton="0" quotePrefix="0" xfId="0">
      <alignment horizontal="right" vertical="center"/>
    </xf>
    <xf numFmtId="164" fontId="28" fillId="11" borderId="1" applyAlignment="1" pivotButton="0" quotePrefix="0" xfId="0">
      <alignment horizontal="right" vertical="center"/>
    </xf>
    <xf numFmtId="166" fontId="11" fillId="11" borderId="1" applyAlignment="1" pivotButton="0" quotePrefix="0" xfId="0">
      <alignment horizontal="right" vertical="center"/>
    </xf>
    <xf numFmtId="0" fontId="30" fillId="11" borderId="1" applyAlignment="1" pivotButton="0" quotePrefix="0" xfId="0">
      <alignment horizontal="left" vertical="center" wrapText="1"/>
    </xf>
    <xf numFmtId="164" fontId="8" fillId="16" borderId="1" applyAlignment="1" pivotButton="0" quotePrefix="0" xfId="0">
      <alignment horizontal="right" vertical="center"/>
    </xf>
    <xf numFmtId="166" fontId="8" fillId="16" borderId="1" applyAlignment="1" pivotButton="0" quotePrefix="0" xfId="0">
      <alignment horizontal="right" vertical="center"/>
    </xf>
    <xf numFmtId="165" fontId="33" fillId="16" borderId="1" applyAlignment="1" pivotButton="0" quotePrefix="0" xfId="0">
      <alignment horizontal="right" vertical="center"/>
    </xf>
    <xf numFmtId="0" fontId="8" fillId="14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general" vertical="bottom"/>
    </xf>
    <xf numFmtId="0" fontId="32" fillId="14" borderId="1" applyAlignment="1" pivotButton="0" quotePrefix="0" xfId="0">
      <alignment horizontal="right" vertical="center"/>
    </xf>
    <xf numFmtId="0" fontId="13" fillId="12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general" vertical="bottom"/>
    </xf>
    <xf numFmtId="164" fontId="28" fillId="12" borderId="1" applyAlignment="1" pivotButton="0" quotePrefix="0" xfId="0">
      <alignment horizontal="right" vertical="center"/>
    </xf>
    <xf numFmtId="166" fontId="11" fillId="12" borderId="1" applyAlignment="1" pivotButton="0" quotePrefix="0" xfId="0">
      <alignment horizontal="right" vertical="center"/>
    </xf>
    <xf numFmtId="164" fontId="15" fillId="12" borderId="1" applyAlignment="1" pivotButton="0" quotePrefix="0" xfId="0">
      <alignment horizontal="right" vertical="center"/>
    </xf>
    <xf numFmtId="164" fontId="8" fillId="14" borderId="1" applyAlignment="1" pivotButton="0" quotePrefix="0" xfId="0">
      <alignment horizontal="right" vertical="center"/>
    </xf>
    <xf numFmtId="166" fontId="8" fillId="14" borderId="1" applyAlignment="1" pivotButton="0" quotePrefix="0" xfId="0">
      <alignment horizontal="right" vertical="center"/>
    </xf>
    <xf numFmtId="165" fontId="33" fillId="14" borderId="1" applyAlignment="1" pivotButton="0" quotePrefix="0" xfId="0">
      <alignment horizontal="right" vertical="center"/>
    </xf>
    <xf numFmtId="0" fontId="25" fillId="2" borderId="1" applyAlignment="1" pivotButton="0" quotePrefix="0" xfId="0">
      <alignment horizontal="center" vertical="center"/>
    </xf>
    <xf numFmtId="0" fontId="25" fillId="2" borderId="1" applyAlignment="1" pivotButton="0" quotePrefix="0" xfId="0">
      <alignment horizontal="general" vertical="bottom"/>
    </xf>
    <xf numFmtId="166" fontId="25" fillId="2" borderId="1" applyAlignment="1" pivotButton="0" quotePrefix="0" xfId="0">
      <alignment horizontal="right" vertical="center"/>
    </xf>
    <xf numFmtId="165" fontId="33" fillId="2" borderId="1" applyAlignment="1" pivotButton="0" quotePrefix="0" xfId="0">
      <alignment horizontal="right" vertical="center"/>
    </xf>
    <xf numFmtId="0" fontId="25" fillId="3" borderId="1" applyAlignment="1" pivotButton="0" quotePrefix="0" xfId="0">
      <alignment horizontal="center" vertical="center"/>
    </xf>
    <xf numFmtId="0" fontId="25" fillId="3" borderId="1" applyAlignment="1" pivotButton="0" quotePrefix="0" xfId="0">
      <alignment horizontal="general" vertical="bottom"/>
    </xf>
    <xf numFmtId="164" fontId="4" fillId="3" borderId="1" applyAlignment="1" pivotButton="0" quotePrefix="0" xfId="0">
      <alignment horizontal="right" vertical="center"/>
    </xf>
    <xf numFmtId="166" fontId="25" fillId="3" borderId="1" applyAlignment="1" pivotButton="0" quotePrefix="0" xfId="0">
      <alignment horizontal="right" vertical="center"/>
    </xf>
    <xf numFmtId="0" fontId="4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27" fillId="9" borderId="1" applyAlignment="1" pivotButton="0" quotePrefix="0" xfId="0">
      <alignment horizontal="left" vertical="center"/>
    </xf>
    <xf numFmtId="0" fontId="28" fillId="9" borderId="1" applyAlignment="1" pivotButton="0" quotePrefix="0" xfId="0">
      <alignment horizontal="right" vertical="center"/>
    </xf>
    <xf numFmtId="0" fontId="13" fillId="9" borderId="1" applyAlignment="1" pivotButton="0" quotePrefix="0" xfId="0">
      <alignment horizontal="left" vertical="center"/>
    </xf>
    <xf numFmtId="0" fontId="25" fillId="4" borderId="1" applyAlignment="1" pivotButton="0" quotePrefix="0" xfId="0">
      <alignment horizontal="left" vertical="center"/>
    </xf>
    <xf numFmtId="164" fontId="2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general" vertical="bottom"/>
    </xf>
    <xf numFmtId="0" fontId="32" fillId="4" borderId="1" applyAlignment="1" pivotButton="0" quotePrefix="0" xfId="0">
      <alignment horizontal="left" vertical="bottom" wrapText="1"/>
    </xf>
    <xf numFmtId="0" fontId="34" fillId="10" borderId="1" applyAlignment="1" pivotButton="0" quotePrefix="0" xfId="0">
      <alignment horizontal="general" vertical="bottom"/>
    </xf>
    <xf numFmtId="164" fontId="35" fillId="10" borderId="1" applyAlignment="1" pivotButton="0" quotePrefix="0" xfId="0">
      <alignment horizontal="right" vertical="center"/>
    </xf>
    <xf numFmtId="0" fontId="4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35" fillId="13" borderId="1" applyAlignment="1" pivotButton="0" quotePrefix="0" xfId="0">
      <alignment horizontal="right" vertical="center"/>
    </xf>
    <xf numFmtId="0" fontId="13" fillId="13" borderId="1" applyAlignment="1" pivotButton="0" quotePrefix="0" xfId="0">
      <alignment horizontal="left" vertical="center"/>
    </xf>
    <xf numFmtId="0" fontId="30" fillId="13" borderId="1" applyAlignment="1" pivotButton="0" quotePrefix="0" xfId="0">
      <alignment horizontal="left" vertical="center" wrapText="1"/>
    </xf>
    <xf numFmtId="164" fontId="31" fillId="13" borderId="1" applyAlignment="1" pivotButton="0" quotePrefix="0" xfId="0">
      <alignment horizontal="right" vertical="center"/>
    </xf>
    <xf numFmtId="164" fontId="35" fillId="13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general" vertical="bottom"/>
    </xf>
    <xf numFmtId="0" fontId="32" fillId="5" borderId="1" applyAlignment="1" pivotButton="0" quotePrefix="0" xfId="0">
      <alignment horizontal="right" vertical="center"/>
    </xf>
    <xf numFmtId="0" fontId="13" fillId="13" borderId="1" applyAlignment="1" pivotButton="0" quotePrefix="0" xfId="0">
      <alignment horizontal="center" vertical="center"/>
    </xf>
    <xf numFmtId="0" fontId="34" fillId="13" borderId="1" applyAlignment="1" pivotButton="0" quotePrefix="0" xfId="0">
      <alignment horizontal="general" vertical="bottom"/>
    </xf>
    <xf numFmtId="166" fontId="11" fillId="13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5" fontId="33" fillId="5" borderId="1" applyAlignment="1" pivotButton="0" quotePrefix="0" xfId="0">
      <alignment horizontal="right" vertical="center"/>
    </xf>
    <xf numFmtId="164" fontId="15" fillId="13" borderId="1" applyAlignment="1" pivotButton="0" quotePrefix="0" xfId="0">
      <alignment horizontal="right" vertical="center"/>
    </xf>
    <xf numFmtId="0" fontId="25" fillId="5" borderId="1" applyAlignment="1" pivotButton="0" quotePrefix="0" xfId="0">
      <alignment horizontal="center" vertical="center"/>
    </xf>
    <xf numFmtId="0" fontId="25" fillId="5" borderId="1" applyAlignment="1" pivotButton="0" quotePrefix="0" xfId="0">
      <alignment horizontal="general" vertical="bottom"/>
    </xf>
    <xf numFmtId="164" fontId="25" fillId="5" borderId="1" applyAlignment="1" pivotButton="0" quotePrefix="0" xfId="0">
      <alignment horizontal="right" vertical="center"/>
    </xf>
    <xf numFmtId="166" fontId="25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6" borderId="1" applyAlignment="1" pivotButton="0" quotePrefix="0" xfId="0">
      <alignment horizontal="left" vertical="center"/>
    </xf>
    <xf numFmtId="2" fontId="11" fillId="6" borderId="1" applyAlignment="1" pivotButton="0" quotePrefix="0" xfId="0">
      <alignment horizontal="right" vertical="center"/>
    </xf>
    <xf numFmtId="2" fontId="12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right" vertical="center"/>
    </xf>
    <xf numFmtId="164" fontId="11" fillId="6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0" fontId="0" fillId="7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164" fontId="15" fillId="8" borderId="1" applyAlignment="1" pivotButton="0" quotePrefix="0" xfId="0">
      <alignment horizontal="right" vertical="center"/>
    </xf>
    <xf numFmtId="164" fontId="14" fillId="8" borderId="1" applyAlignment="1" pivotButton="0" quotePrefix="0" xfId="0">
      <alignment horizontal="right" vertical="center"/>
    </xf>
    <xf numFmtId="165" fontId="13" fillId="8" borderId="1" applyAlignment="1" pivotButton="0" quotePrefix="0" xfId="0">
      <alignment horizontal="right" vertical="center"/>
    </xf>
    <xf numFmtId="0" fontId="16" fillId="8" borderId="1" applyAlignment="1" pivotButton="0" quotePrefix="0" xfId="0">
      <alignment horizontal="left" vertical="center"/>
    </xf>
    <xf numFmtId="164" fontId="11" fillId="8" borderId="1" applyAlignment="1" pivotButton="0" quotePrefix="0" xfId="0">
      <alignment horizontal="right" vertical="center"/>
    </xf>
    <xf numFmtId="0" fontId="17" fillId="9" borderId="1" applyAlignment="1" pivotButton="0" quotePrefix="0" xfId="0">
      <alignment horizontal="left" vertical="center"/>
    </xf>
    <xf numFmtId="164" fontId="11" fillId="9" borderId="1" applyAlignment="1" pivotButton="0" quotePrefix="0" xfId="0">
      <alignment horizontal="right" vertical="center"/>
    </xf>
    <xf numFmtId="164" fontId="18" fillId="9" borderId="1" applyAlignment="1" pivotButton="0" quotePrefix="0" xfId="0">
      <alignment horizontal="right" vertical="center"/>
    </xf>
    <xf numFmtId="165" fontId="13" fillId="9" borderId="1" applyAlignment="1" pivotButton="0" quotePrefix="0" xfId="0">
      <alignment horizontal="right" vertical="center"/>
    </xf>
    <xf numFmtId="0" fontId="19" fillId="10" borderId="1" applyAlignment="1" pivotButton="0" quotePrefix="0" xfId="0">
      <alignment horizontal="left" vertical="center"/>
    </xf>
    <xf numFmtId="164" fontId="11" fillId="10" borderId="1" applyAlignment="1" pivotButton="0" quotePrefix="0" xfId="0">
      <alignment horizontal="right" vertical="center"/>
    </xf>
    <xf numFmtId="164" fontId="20" fillId="10" borderId="1" applyAlignment="1" pivotButton="0" quotePrefix="0" xfId="0">
      <alignment horizontal="right" vertical="center"/>
    </xf>
    <xf numFmtId="165" fontId="13" fillId="10" borderId="1" applyAlignment="1" pivotButton="0" quotePrefix="0" xfId="0">
      <alignment horizontal="right" vertical="center"/>
    </xf>
    <xf numFmtId="0" fontId="21" fillId="11" borderId="1" applyAlignment="1" pivotButton="0" quotePrefix="0" xfId="0">
      <alignment horizontal="left" vertical="center"/>
    </xf>
    <xf numFmtId="164" fontId="11" fillId="11" borderId="1" applyAlignment="1" pivotButton="0" quotePrefix="0" xfId="0">
      <alignment horizontal="right" vertical="center"/>
    </xf>
    <xf numFmtId="164" fontId="22" fillId="11" borderId="1" applyAlignment="1" pivotButton="0" quotePrefix="0" xfId="0">
      <alignment horizontal="right" vertical="center"/>
    </xf>
    <xf numFmtId="165" fontId="13" fillId="11" borderId="1" applyAlignment="1" pivotButton="0" quotePrefix="0" xfId="0">
      <alignment horizontal="right" vertical="center"/>
    </xf>
    <xf numFmtId="0" fontId="23" fillId="12" borderId="1" applyAlignment="1" pivotButton="0" quotePrefix="0" xfId="0">
      <alignment horizontal="left" vertical="center"/>
    </xf>
    <xf numFmtId="164" fontId="11" fillId="12" borderId="1" applyAlignment="1" pivotButton="0" quotePrefix="0" xfId="0">
      <alignment horizontal="right" vertical="center"/>
    </xf>
    <xf numFmtId="164" fontId="24" fillId="12" borderId="1" applyAlignment="1" pivotButton="0" quotePrefix="0" xfId="0">
      <alignment horizontal="right" vertical="center"/>
    </xf>
    <xf numFmtId="165" fontId="13" fillId="12" borderId="1" applyAlignment="1" pivotButton="0" quotePrefix="0" xfId="0">
      <alignment horizontal="right" vertical="center"/>
    </xf>
    <xf numFmtId="0" fontId="25" fillId="2" borderId="1" applyAlignment="1" pivotButton="0" quotePrefix="0" xfId="0">
      <alignment horizontal="left" vertical="center"/>
    </xf>
    <xf numFmtId="164" fontId="25" fillId="2" borderId="1" applyAlignment="1" pivotButton="0" quotePrefix="0" xfId="0">
      <alignment horizontal="right" vertical="center"/>
    </xf>
    <xf numFmtId="165" fontId="8" fillId="2" borderId="1" applyAlignment="1" pivotButton="0" quotePrefix="0" xfId="0">
      <alignment horizontal="right" vertical="center"/>
    </xf>
    <xf numFmtId="0" fontId="26" fillId="8" borderId="1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165" fontId="14" fillId="8" borderId="1" applyAlignment="1" pivotButton="0" quotePrefix="0" xfId="0">
      <alignment horizontal="right" vertical="center"/>
    </xf>
    <xf numFmtId="0" fontId="27" fillId="13" borderId="1" applyAlignment="1" pivotButton="0" quotePrefix="0" xfId="0">
      <alignment horizontal="left" vertical="center"/>
    </xf>
    <xf numFmtId="165" fontId="14" fillId="13" borderId="1" applyAlignment="1" pivotButton="0" quotePrefix="0" xfId="0">
      <alignment horizontal="right" vertical="center"/>
    </xf>
    <xf numFmtId="0" fontId="0" fillId="13" borderId="1" applyAlignment="1" pivotButton="0" quotePrefix="0" xfId="0">
      <alignment horizontal="general" vertical="bottom"/>
    </xf>
    <xf numFmtId="165" fontId="10" fillId="13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27" fillId="6" borderId="1" applyAlignment="1" pivotButton="0" quotePrefix="0" xfId="0">
      <alignment horizontal="left" vertical="center"/>
    </xf>
    <xf numFmtId="0" fontId="28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left" vertical="center"/>
    </xf>
    <xf numFmtId="0" fontId="30" fillId="6" borderId="1" applyAlignment="1" pivotButton="0" quotePrefix="0" xfId="0">
      <alignment horizontal="left" vertical="center" wrapText="1"/>
    </xf>
    <xf numFmtId="0" fontId="27" fillId="8" borderId="1" applyAlignment="1" pivotButton="0" quotePrefix="0" xfId="0">
      <alignment horizontal="left" vertical="center"/>
    </xf>
    <xf numFmtId="0" fontId="28" fillId="8" borderId="1" applyAlignment="1" pivotButton="0" quotePrefix="0" xfId="0">
      <alignment horizontal="right" vertical="center"/>
    </xf>
    <xf numFmtId="0" fontId="13" fillId="8" borderId="1" applyAlignment="1" pivotButton="0" quotePrefix="0" xfId="0">
      <alignment horizontal="left" vertical="center"/>
    </xf>
    <xf numFmtId="0" fontId="30" fillId="8" borderId="1" applyAlignment="1" pivotButton="0" quotePrefix="0" xfId="0">
      <alignment horizontal="left" vertical="center" wrapText="1"/>
    </xf>
    <xf numFmtId="164" fontId="31" fillId="8" borderId="1" applyAlignment="1" pivotButton="0" quotePrefix="0" xfId="0">
      <alignment horizontal="right" vertical="center"/>
    </xf>
    <xf numFmtId="0" fontId="8" fillId="14" borderId="1" applyAlignment="1" pivotButton="0" quotePrefix="0" xfId="0">
      <alignment horizontal="left" vertical="center"/>
    </xf>
    <xf numFmtId="0" fontId="27" fillId="12" borderId="1" applyAlignment="1" pivotButton="0" quotePrefix="0" xfId="0">
      <alignment horizontal="left" vertical="center"/>
    </xf>
    <xf numFmtId="0" fontId="28" fillId="12" borderId="1" applyAlignment="1" pivotButton="0" quotePrefix="0" xfId="0">
      <alignment horizontal="right" vertical="center"/>
    </xf>
    <xf numFmtId="0" fontId="13" fillId="12" borderId="1" applyAlignment="1" pivotButton="0" quotePrefix="0" xfId="0">
      <alignment horizontal="left" vertical="center"/>
    </xf>
    <xf numFmtId="0" fontId="30" fillId="12" borderId="1" applyAlignment="1" pivotButton="0" quotePrefix="0" xfId="0">
      <alignment horizontal="left" vertical="center" wrapText="1"/>
    </xf>
    <xf numFmtId="164" fontId="31" fillId="12" borderId="1" applyAlignment="1" pivotButton="0" quotePrefix="0" xfId="0">
      <alignment horizontal="right" vertical="center"/>
    </xf>
    <xf numFmtId="0" fontId="25" fillId="3" borderId="1" applyAlignment="1" pivotButton="0" quotePrefix="0" xfId="0">
      <alignment horizontal="left" vertical="center"/>
    </xf>
    <xf numFmtId="164" fontId="25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general" vertical="bottom"/>
    </xf>
    <xf numFmtId="0" fontId="32" fillId="3" borderId="1" applyAlignment="1" pivotButton="0" quotePrefix="0" xfId="0">
      <alignment horizontal="left" vertical="bottom" wrapText="1"/>
    </xf>
    <xf numFmtId="0" fontId="8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bottom"/>
    </xf>
    <xf numFmtId="0" fontId="32" fillId="3" borderId="1" applyAlignment="1" pivotButton="0" quotePrefix="0" xfId="0">
      <alignment horizontal="right" vertical="center"/>
    </xf>
    <xf numFmtId="0" fontId="13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general" vertical="bottom"/>
    </xf>
    <xf numFmtId="164" fontId="28" fillId="8" borderId="1" applyAlignment="1" pivotButton="0" quotePrefix="0" xfId="0">
      <alignment horizontal="right" vertical="center"/>
    </xf>
    <xf numFmtId="166" fontId="11" fillId="8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166" fontId="8" fillId="3" borderId="1" applyAlignment="1" pivotButton="0" quotePrefix="0" xfId="0">
      <alignment horizontal="right" vertical="center"/>
    </xf>
    <xf numFmtId="165" fontId="33" fillId="3" borderId="1" applyAlignment="1" pivotButton="0" quotePrefix="0" xfId="0">
      <alignment horizontal="right" vertical="center"/>
    </xf>
    <xf numFmtId="0" fontId="0" fillId="7" borderId="2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general" vertical="bottom"/>
    </xf>
    <xf numFmtId="0" fontId="32" fillId="4" borderId="1" applyAlignment="1" pivotButton="0" quotePrefix="0" xfId="0">
      <alignment horizontal="right" vertical="center"/>
    </xf>
    <xf numFmtId="0" fontId="13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general" vertical="bottom"/>
    </xf>
    <xf numFmtId="164" fontId="28" fillId="9" borderId="1" applyAlignment="1" pivotButton="0" quotePrefix="0" xfId="0">
      <alignment horizontal="right" vertical="center"/>
    </xf>
    <xf numFmtId="164" fontId="31" fillId="9" borderId="1" applyAlignment="1" pivotButton="0" quotePrefix="0" xfId="0">
      <alignment horizontal="right" vertical="center"/>
    </xf>
    <xf numFmtId="166" fontId="11" fillId="9" borderId="1" applyAlignment="1" pivotButton="0" quotePrefix="0" xfId="0">
      <alignment horizontal="right" vertical="center"/>
    </xf>
    <xf numFmtId="0" fontId="30" fillId="9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right" vertical="center"/>
    </xf>
    <xf numFmtId="166" fontId="8" fillId="4" borderId="1" applyAlignment="1" pivotButton="0" quotePrefix="0" xfId="0">
      <alignment horizontal="right" vertical="center"/>
    </xf>
    <xf numFmtId="165" fontId="33" fillId="4" borderId="1" applyAlignment="1" pivotButton="0" quotePrefix="0" xfId="0">
      <alignment horizontal="right" vertical="center"/>
    </xf>
    <xf numFmtId="0" fontId="8" fillId="15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left" vertical="center"/>
    </xf>
    <xf numFmtId="0" fontId="0" fillId="15" borderId="1" applyAlignment="1" pivotButton="0" quotePrefix="0" xfId="0">
      <alignment horizontal="general" vertical="bottom"/>
    </xf>
    <xf numFmtId="0" fontId="32" fillId="15" borderId="1" applyAlignment="1" pivotButton="0" quotePrefix="0" xfId="0">
      <alignment horizontal="right" vertical="center"/>
    </xf>
    <xf numFmtId="0" fontId="13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general" vertical="bottom"/>
    </xf>
    <xf numFmtId="164" fontId="28" fillId="10" borderId="1" applyAlignment="1" pivotButton="0" quotePrefix="0" xfId="0">
      <alignment horizontal="right" vertical="center"/>
    </xf>
    <xf numFmtId="164" fontId="31" fillId="10" borderId="1" applyAlignment="1" pivotButton="0" quotePrefix="0" xfId="0">
      <alignment horizontal="right" vertical="center"/>
    </xf>
    <xf numFmtId="166" fontId="11" fillId="10" borderId="1" applyAlignment="1" pivotButton="0" quotePrefix="0" xfId="0">
      <alignment horizontal="right" vertical="center"/>
    </xf>
    <xf numFmtId="0" fontId="30" fillId="10" borderId="1" applyAlignment="1" pivotButton="0" quotePrefix="0" xfId="0">
      <alignment horizontal="left" vertical="center" wrapText="1"/>
    </xf>
    <xf numFmtId="164" fontId="8" fillId="15" borderId="1" applyAlignment="1" pivotButton="0" quotePrefix="0" xfId="0">
      <alignment horizontal="right" vertical="center"/>
    </xf>
    <xf numFmtId="166" fontId="8" fillId="15" borderId="1" applyAlignment="1" pivotButton="0" quotePrefix="0" xfId="0">
      <alignment horizontal="right" vertical="center"/>
    </xf>
    <xf numFmtId="165" fontId="33" fillId="15" borderId="1" applyAlignment="1" pivotButton="0" quotePrefix="0" xfId="0">
      <alignment horizontal="right" vertical="center"/>
    </xf>
    <xf numFmtId="0" fontId="8" fillId="16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left" vertical="center"/>
    </xf>
    <xf numFmtId="0" fontId="0" fillId="16" borderId="1" applyAlignment="1" pivotButton="0" quotePrefix="0" xfId="0">
      <alignment horizontal="general" vertical="bottom"/>
    </xf>
    <xf numFmtId="0" fontId="32" fillId="16" borderId="1" applyAlignment="1" pivotButton="0" quotePrefix="0" xfId="0">
      <alignment horizontal="right" vertical="center"/>
    </xf>
    <xf numFmtId="0" fontId="13" fillId="11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general" vertical="bottom"/>
    </xf>
    <xf numFmtId="164" fontId="31" fillId="11" borderId="1" applyAlignment="1" pivotButton="0" quotePrefix="0" xfId="0">
      <alignment horizontal="right" vertical="center"/>
    </xf>
    <xf numFmtId="164" fontId="28" fillId="11" borderId="1" applyAlignment="1" pivotButton="0" quotePrefix="0" xfId="0">
      <alignment horizontal="right" vertical="center"/>
    </xf>
    <xf numFmtId="166" fontId="11" fillId="11" borderId="1" applyAlignment="1" pivotButton="0" quotePrefix="0" xfId="0">
      <alignment horizontal="right" vertical="center"/>
    </xf>
    <xf numFmtId="0" fontId="30" fillId="11" borderId="1" applyAlignment="1" pivotButton="0" quotePrefix="0" xfId="0">
      <alignment horizontal="left" vertical="center" wrapText="1"/>
    </xf>
    <xf numFmtId="164" fontId="8" fillId="16" borderId="1" applyAlignment="1" pivotButton="0" quotePrefix="0" xfId="0">
      <alignment horizontal="right" vertical="center"/>
    </xf>
    <xf numFmtId="166" fontId="8" fillId="16" borderId="1" applyAlignment="1" pivotButton="0" quotePrefix="0" xfId="0">
      <alignment horizontal="right" vertical="center"/>
    </xf>
    <xf numFmtId="165" fontId="33" fillId="16" borderId="1" applyAlignment="1" pivotButton="0" quotePrefix="0" xfId="0">
      <alignment horizontal="right" vertical="center"/>
    </xf>
    <xf numFmtId="0" fontId="8" fillId="14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general" vertical="bottom"/>
    </xf>
    <xf numFmtId="0" fontId="32" fillId="14" borderId="1" applyAlignment="1" pivotButton="0" quotePrefix="0" xfId="0">
      <alignment horizontal="right" vertical="center"/>
    </xf>
    <xf numFmtId="0" fontId="13" fillId="12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general" vertical="bottom"/>
    </xf>
    <xf numFmtId="164" fontId="28" fillId="12" borderId="1" applyAlignment="1" pivotButton="0" quotePrefix="0" xfId="0">
      <alignment horizontal="right" vertical="center"/>
    </xf>
    <xf numFmtId="166" fontId="11" fillId="12" borderId="1" applyAlignment="1" pivotButton="0" quotePrefix="0" xfId="0">
      <alignment horizontal="right" vertical="center"/>
    </xf>
    <xf numFmtId="164" fontId="15" fillId="12" borderId="1" applyAlignment="1" pivotButton="0" quotePrefix="0" xfId="0">
      <alignment horizontal="right" vertical="center"/>
    </xf>
    <xf numFmtId="164" fontId="8" fillId="14" borderId="1" applyAlignment="1" pivotButton="0" quotePrefix="0" xfId="0">
      <alignment horizontal="right" vertical="center"/>
    </xf>
    <xf numFmtId="166" fontId="8" fillId="14" borderId="1" applyAlignment="1" pivotButton="0" quotePrefix="0" xfId="0">
      <alignment horizontal="right" vertical="center"/>
    </xf>
    <xf numFmtId="165" fontId="33" fillId="14" borderId="1" applyAlignment="1" pivotButton="0" quotePrefix="0" xfId="0">
      <alignment horizontal="right" vertical="center"/>
    </xf>
    <xf numFmtId="0" fontId="25" fillId="2" borderId="1" applyAlignment="1" pivotButton="0" quotePrefix="0" xfId="0">
      <alignment horizontal="center" vertical="center"/>
    </xf>
    <xf numFmtId="0" fontId="25" fillId="2" borderId="1" applyAlignment="1" pivotButton="0" quotePrefix="0" xfId="0">
      <alignment horizontal="general" vertical="bottom"/>
    </xf>
    <xf numFmtId="166" fontId="25" fillId="2" borderId="1" applyAlignment="1" pivotButton="0" quotePrefix="0" xfId="0">
      <alignment horizontal="right" vertical="center"/>
    </xf>
    <xf numFmtId="165" fontId="33" fillId="2" borderId="1" applyAlignment="1" pivotButton="0" quotePrefix="0" xfId="0">
      <alignment horizontal="right" vertical="center"/>
    </xf>
    <xf numFmtId="0" fontId="25" fillId="3" borderId="1" applyAlignment="1" pivotButton="0" quotePrefix="0" xfId="0">
      <alignment horizontal="center" vertical="center"/>
    </xf>
    <xf numFmtId="0" fontId="25" fillId="3" borderId="1" applyAlignment="1" pivotButton="0" quotePrefix="0" xfId="0">
      <alignment horizontal="general" vertical="bottom"/>
    </xf>
    <xf numFmtId="164" fontId="4" fillId="3" borderId="1" applyAlignment="1" pivotButton="0" quotePrefix="0" xfId="0">
      <alignment horizontal="right" vertical="center"/>
    </xf>
    <xf numFmtId="166" fontId="25" fillId="3" borderId="1" applyAlignment="1" pivotButton="0" quotePrefix="0" xfId="0">
      <alignment horizontal="right" vertical="center"/>
    </xf>
    <xf numFmtId="0" fontId="36" fillId="0" borderId="0" pivotButton="0" quotePrefix="0" xfId="0"/>
    <xf numFmtId="0" fontId="37" fillId="0" borderId="0" pivotButton="0" quotePrefix="0" xfId="0"/>
    <xf numFmtId="0" fontId="38" fillId="17" borderId="0" pivotButton="0" quotePrefix="0" xfId="0"/>
    <xf numFmtId="0" fontId="0" fillId="17" borderId="0" pivotButton="0" quotePrefix="0" xfId="0"/>
    <xf numFmtId="0" fontId="39" fillId="18" borderId="0" pivotButton="0" quotePrefix="0" xfId="0"/>
    <xf numFmtId="0" fontId="39" fillId="18" borderId="0" applyAlignment="1" pivotButton="0" quotePrefix="0" xfId="0">
      <alignment horizontal="center"/>
    </xf>
    <xf numFmtId="0" fontId="40" fillId="0" borderId="0" pivotButton="0" quotePrefix="0" xfId="0"/>
    <xf numFmtId="9" fontId="41" fillId="0" borderId="0" applyAlignment="1" pivotButton="0" quotePrefix="0" xfId="0">
      <alignment horizontal="center"/>
    </xf>
    <xf numFmtId="9" fontId="42" fillId="0" borderId="0" applyAlignment="1" pivotButton="0" quotePrefix="0" xfId="0">
      <alignment horizontal="center"/>
    </xf>
    <xf numFmtId="0" fontId="43" fillId="0" borderId="0" pivotButton="0" quotePrefix="0" xfId="0"/>
    <xf numFmtId="0" fontId="44" fillId="0" borderId="0" pivotButton="0" quotePrefix="0" xfId="0"/>
    <xf numFmtId="0" fontId="45" fillId="0" borderId="0" pivotButton="0" quotePrefix="0" xfId="0"/>
    <xf numFmtId="3" fontId="45" fillId="0" borderId="0" pivotButton="0" quotePrefix="0" xfId="0"/>
    <xf numFmtId="3" fontId="41" fillId="0" borderId="0" pivotButton="0" quotePrefix="0" xfId="0"/>
    <xf numFmtId="3" fontId="39" fillId="18" borderId="0" pivotButton="0" quotePrefix="0" xfId="0"/>
    <xf numFmtId="0" fontId="41" fillId="0" borderId="0" pivotButton="0" quotePrefix="0" xfId="0"/>
    <xf numFmtId="0" fontId="39" fillId="0" borderId="0" pivotButton="0" quotePrefix="0" xfId="0"/>
    <xf numFmtId="3" fontId="39" fillId="0" borderId="0" pivotButton="0" quotePrefix="0" xfId="0"/>
    <xf numFmtId="0" fontId="39" fillId="19" borderId="0" pivotButton="0" quotePrefix="0" xfId="0"/>
    <xf numFmtId="167" fontId="39" fillId="19" borderId="0" pivotButton="0" quotePrefix="0" xfId="0"/>
    <xf numFmtId="3" fontId="39" fillId="19" borderId="0" pivotButton="0" quotePrefix="0" xfId="0"/>
    <xf numFmtId="0" fontId="46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27" fillId="9" borderId="1" applyAlignment="1" pivotButton="0" quotePrefix="0" xfId="0">
      <alignment horizontal="left" vertical="center"/>
    </xf>
    <xf numFmtId="0" fontId="28" fillId="9" borderId="1" applyAlignment="1" pivotButton="0" quotePrefix="0" xfId="0">
      <alignment horizontal="right" vertical="center"/>
    </xf>
    <xf numFmtId="0" fontId="13" fillId="9" borderId="1" applyAlignment="1" pivotButton="0" quotePrefix="0" xfId="0">
      <alignment horizontal="left" vertical="center"/>
    </xf>
    <xf numFmtId="0" fontId="25" fillId="4" borderId="1" applyAlignment="1" pivotButton="0" quotePrefix="0" xfId="0">
      <alignment horizontal="left" vertical="center"/>
    </xf>
    <xf numFmtId="164" fontId="2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general" vertical="bottom"/>
    </xf>
    <xf numFmtId="0" fontId="32" fillId="4" borderId="1" applyAlignment="1" pivotButton="0" quotePrefix="0" xfId="0">
      <alignment horizontal="left" vertical="bottom" wrapText="1"/>
    </xf>
    <xf numFmtId="0" fontId="34" fillId="10" borderId="1" applyAlignment="1" pivotButton="0" quotePrefix="0" xfId="0">
      <alignment horizontal="general" vertical="bottom"/>
    </xf>
    <xf numFmtId="164" fontId="35" fillId="10" borderId="1" applyAlignment="1" pivotButton="0" quotePrefix="0" xfId="0">
      <alignment horizontal="right" vertical="center"/>
    </xf>
    <xf numFmtId="0" fontId="4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35" fillId="13" borderId="1" applyAlignment="1" pivotButton="0" quotePrefix="0" xfId="0">
      <alignment horizontal="right" vertical="center"/>
    </xf>
    <xf numFmtId="0" fontId="13" fillId="13" borderId="1" applyAlignment="1" pivotButton="0" quotePrefix="0" xfId="0">
      <alignment horizontal="left" vertical="center"/>
    </xf>
    <xf numFmtId="0" fontId="30" fillId="13" borderId="1" applyAlignment="1" pivotButton="0" quotePrefix="0" xfId="0">
      <alignment horizontal="left" vertical="center" wrapText="1"/>
    </xf>
    <xf numFmtId="164" fontId="31" fillId="13" borderId="1" applyAlignment="1" pivotButton="0" quotePrefix="0" xfId="0">
      <alignment horizontal="right" vertical="center"/>
    </xf>
    <xf numFmtId="164" fontId="35" fillId="13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general" vertical="bottom"/>
    </xf>
    <xf numFmtId="0" fontId="32" fillId="5" borderId="1" applyAlignment="1" pivotButton="0" quotePrefix="0" xfId="0">
      <alignment horizontal="right" vertical="center"/>
    </xf>
    <xf numFmtId="0" fontId="13" fillId="13" borderId="1" applyAlignment="1" pivotButton="0" quotePrefix="0" xfId="0">
      <alignment horizontal="center" vertical="center"/>
    </xf>
    <xf numFmtId="0" fontId="34" fillId="13" borderId="1" applyAlignment="1" pivotButton="0" quotePrefix="0" xfId="0">
      <alignment horizontal="general" vertical="bottom"/>
    </xf>
    <xf numFmtId="166" fontId="11" fillId="13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5" fontId="33" fillId="5" borderId="1" applyAlignment="1" pivotButton="0" quotePrefix="0" xfId="0">
      <alignment horizontal="right" vertical="center"/>
    </xf>
    <xf numFmtId="164" fontId="15" fillId="13" borderId="1" applyAlignment="1" pivotButton="0" quotePrefix="0" xfId="0">
      <alignment horizontal="right" vertical="center"/>
    </xf>
    <xf numFmtId="0" fontId="25" fillId="5" borderId="1" applyAlignment="1" pivotButton="0" quotePrefix="0" xfId="0">
      <alignment horizontal="center" vertical="center"/>
    </xf>
    <xf numFmtId="0" fontId="25" fillId="5" borderId="1" applyAlignment="1" pivotButton="0" quotePrefix="0" xfId="0">
      <alignment horizontal="general" vertical="bottom"/>
    </xf>
    <xf numFmtId="164" fontId="25" fillId="5" borderId="1" applyAlignment="1" pivotButton="0" quotePrefix="0" xfId="0">
      <alignment horizontal="right" vertical="center"/>
    </xf>
    <xf numFmtId="166" fontId="25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4F0B"/>
      <rgbColor rgb="FF800080"/>
      <rgbColor rgb="FF0F6E56"/>
      <rgbColor rgb="FFF7F7F7"/>
      <rgbColor rgb="FF888888"/>
      <rgbColor rgb="FF9999FF"/>
      <rgbColor rgb="FF993366"/>
      <rgbColor rgb="FFFAEEDA"/>
      <rgbColor rgb="FFE1F5EE"/>
      <rgbColor rgb="FF660066"/>
      <rgbColor rgb="FFFF8080"/>
      <rgbColor rgb="FF185FA5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F2F2F2"/>
      <rgbColor rgb="FFFAECE7"/>
      <rgbColor rgb="FF99CCFF"/>
      <rgbColor rgb="FFFF99CC"/>
      <rgbColor rgb="FFCC99FF"/>
      <rgbColor rgb="FFEEEDFE"/>
      <rgbColor rgb="FF3366FF"/>
      <rgbColor rgb="FF33CCCC"/>
      <rgbColor rgb="FF99CC00"/>
      <rgbColor rgb="FFFFCC00"/>
      <rgbColor rgb="FFFF9900"/>
      <rgbColor rgb="FFFF6600"/>
      <rgbColor rgb="FF534AB7"/>
      <rgbColor rgb="FF999999"/>
      <rgbColor rgb="FF003366"/>
      <rgbColor rgb="FF339966"/>
      <rgbColor rgb="FF003300"/>
      <rgbColor rgb="FF222222"/>
      <rgbColor rgb="FF993C1D"/>
      <rgbColor rgb="FF993366"/>
      <rgbColor rgb="FF333399"/>
      <rgbColor rgb="FF1B2A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74" min="1" max="1"/>
    <col width="18" customWidth="1" style="174" min="2" max="5"/>
    <col width="14" customWidth="1" style="174" min="6" max="7"/>
    <col width="16" customWidth="1" style="174" min="8" max="8"/>
  </cols>
  <sheetData>
    <row r="1" ht="25.5" customHeight="1" s="175">
      <c r="A1" s="176" t="inlineStr">
        <is>
          <t>MASTER FEASIBILITY SUMMARY  —  All Phases  |  整地汇总</t>
        </is>
      </c>
    </row>
    <row r="2" ht="15" customHeight="1" s="175">
      <c r="A2" s="177" t="inlineStr">
        <is>
          <t>Green = cross-sheet formula  |  Gray phase = indicative only, subject to planning approval and market review</t>
        </is>
      </c>
    </row>
    <row r="3" ht="18" customHeight="1" s="175">
      <c r="A3" s="178" t="n"/>
      <c r="B3" s="179" t="inlineStr">
        <is>
          <t>Phase 1</t>
        </is>
      </c>
      <c r="C3" s="180" t="inlineStr">
        <is>
          <t>Phase 2</t>
        </is>
      </c>
      <c r="D3" s="181" t="inlineStr">
        <is>
          <t>Phase 3</t>
        </is>
      </c>
      <c r="E3" s="178" t="n"/>
      <c r="F3" s="178" t="n"/>
      <c r="G3" s="178" t="n"/>
      <c r="H3" s="178" t="n"/>
    </row>
    <row r="4" ht="36" customHeight="1" s="175">
      <c r="A4" s="182" t="n"/>
      <c r="B4" s="182" t="inlineStr">
        <is>
          <t>Phase 1
精算 ✓</t>
        </is>
      </c>
      <c r="C4" s="182" t="inlineStr">
        <is>
          <t>Phase 2
概念 ◑</t>
        </is>
      </c>
      <c r="D4" s="182" t="inlineStr">
        <is>
          <t>Phase 3
TBC ○</t>
        </is>
      </c>
      <c r="E4" s="182" t="inlineStr">
        <is>
          <t>TOTAL</t>
        </is>
      </c>
      <c r="F4" s="182" t="inlineStr">
        <is>
          <t>P1 %GDV</t>
        </is>
      </c>
      <c r="G4" s="182" t="inlineStr">
        <is>
          <t>P2 %GDV</t>
        </is>
      </c>
      <c r="H4" s="182" t="inlineStr">
        <is>
          <t>P3 %GDV</t>
        </is>
      </c>
    </row>
    <row r="5" ht="18" customHeight="1" s="175">
      <c r="A5" s="183" t="inlineStr">
        <is>
          <t>LAND &amp; AREA</t>
        </is>
      </c>
      <c r="B5" s="184" t="n"/>
      <c r="C5" s="184" t="n"/>
      <c r="D5" s="184" t="n"/>
      <c r="E5" s="184" t="n"/>
      <c r="F5" s="184" t="n"/>
      <c r="G5" s="184" t="n"/>
      <c r="H5" s="185" t="n"/>
    </row>
    <row r="6" ht="16.5" customHeight="1" s="175">
      <c r="A6" s="186" t="inlineStr">
        <is>
          <t>Net Developable Area (NDA)</t>
        </is>
      </c>
      <c r="B6" s="187">
        <f>P1_INPUT!B12</f>
        <v/>
      </c>
      <c r="C6" s="187">
        <f>P2_INPUT!B12</f>
        <v/>
      </c>
      <c r="D6" s="187">
        <f>P3_INPUT!B12</f>
        <v/>
      </c>
      <c r="E6" s="188">
        <f>SUM(B6:D6)</f>
        <v/>
      </c>
      <c r="F6" s="189" t="n"/>
      <c r="G6" s="189" t="n"/>
      <c r="H6" s="189" t="n"/>
    </row>
    <row r="7" ht="16.5" customHeight="1" s="175">
      <c r="A7" s="186" t="inlineStr">
        <is>
          <t>Gross Floor Area (GFA sqft)</t>
        </is>
      </c>
      <c r="B7" s="190">
        <f>P1_INPUT!B14</f>
        <v/>
      </c>
      <c r="C7" s="190">
        <f>P2_INPUT!B14</f>
        <v/>
      </c>
      <c r="D7" s="190">
        <f>P3_INPUT!B14</f>
        <v/>
      </c>
      <c r="E7" s="191">
        <f>SUM(B7:D7)</f>
        <v/>
      </c>
      <c r="F7" s="189" t="n"/>
      <c r="G7" s="189" t="n"/>
      <c r="H7" s="189" t="n"/>
    </row>
    <row r="8" ht="16.5" customHeight="1" s="175">
      <c r="A8" s="186" t="inlineStr">
        <is>
          <t>Nett Floor Area (NFA sqft)</t>
        </is>
      </c>
      <c r="B8" s="190">
        <f>P1_INPUT!B16</f>
        <v/>
      </c>
      <c r="C8" s="190">
        <f>P2_INPUT!B16</f>
        <v/>
      </c>
      <c r="D8" s="190">
        <f>P3_INPUT!B16</f>
        <v/>
      </c>
      <c r="E8" s="191">
        <f>SUM(B8:D8)</f>
        <v/>
      </c>
      <c r="F8" s="189" t="n"/>
      <c r="G8" s="189" t="n"/>
      <c r="H8" s="189" t="n"/>
    </row>
    <row r="9" ht="16.5" customHeight="1" s="175">
      <c r="A9" s="186" t="inlineStr">
        <is>
          <t>Total Units (estimate)</t>
        </is>
      </c>
      <c r="B9" s="190">
        <f>P1_INPUT!B18</f>
        <v/>
      </c>
      <c r="C9" s="190">
        <f>P2_INPUT!B18</f>
        <v/>
      </c>
      <c r="D9" s="190">
        <f>P3_INPUT!B18</f>
        <v/>
      </c>
      <c r="E9" s="191">
        <f>SUM(B9:D9)</f>
        <v/>
      </c>
      <c r="F9" s="189" t="n"/>
      <c r="G9" s="189" t="n"/>
      <c r="H9" s="189" t="n"/>
    </row>
    <row r="10" ht="6" customHeight="1" s="175">
      <c r="A10" s="192" t="n"/>
    </row>
    <row r="11" ht="18" customHeight="1" s="175">
      <c r="A11" s="193" t="inlineStr">
        <is>
          <t>GDV</t>
        </is>
      </c>
      <c r="B11" s="184" t="n"/>
      <c r="C11" s="184" t="n"/>
      <c r="D11" s="184" t="n"/>
      <c r="E11" s="184" t="n"/>
      <c r="F11" s="184" t="n"/>
      <c r="G11" s="184" t="n"/>
      <c r="H11" s="185" t="n"/>
    </row>
    <row r="12" ht="19.5" customHeight="1" s="175">
      <c r="A12" s="194" t="inlineStr">
        <is>
          <t>Net GDV</t>
        </is>
      </c>
      <c r="B12" s="195">
        <f>P1_INPUT!B34</f>
        <v/>
      </c>
      <c r="C12" s="195">
        <f>P2_INPUT!B34</f>
        <v/>
      </c>
      <c r="D12" s="195">
        <f>P3_INPUT!B24</f>
        <v/>
      </c>
      <c r="E12" s="196">
        <f>SUM(B12:D12)</f>
        <v/>
      </c>
      <c r="F12" s="197">
        <f>IFERROR(B12/B$6,0)</f>
        <v/>
      </c>
      <c r="G12" s="197">
        <f>IFERROR(C12/C$6,0)</f>
        <v/>
      </c>
      <c r="H12" s="197">
        <f>IFERROR(D12/D$6,0)</f>
        <v/>
      </c>
    </row>
    <row r="13" ht="6" customHeight="1" s="175">
      <c r="A13" s="192" t="n"/>
    </row>
    <row r="14" ht="18" customHeight="1" s="175">
      <c r="A14" s="183" t="inlineStr">
        <is>
          <t>GROSS DEVELOPMENT COST — 5 PILLARS</t>
        </is>
      </c>
      <c r="B14" s="184" t="n"/>
      <c r="C14" s="184" t="n"/>
      <c r="D14" s="184" t="n"/>
      <c r="E14" s="184" t="n"/>
      <c r="F14" s="184" t="n"/>
      <c r="G14" s="184" t="n"/>
      <c r="H14" s="185" t="n"/>
    </row>
    <row r="15" ht="16.5" customHeight="1" s="175">
      <c r="A15" s="198" t="inlineStr">
        <is>
          <t>P1 · Land Cost</t>
        </is>
      </c>
      <c r="B15" s="199">
        <f>P1_COSTING!C12</f>
        <v/>
      </c>
      <c r="C15" s="199">
        <f>P2_COSTING!C9</f>
        <v/>
      </c>
      <c r="D15" s="199">
        <f>P3_COSTING!C8</f>
        <v/>
      </c>
      <c r="E15" s="196">
        <f>SUM(B15:D15)</f>
        <v/>
      </c>
      <c r="F15" s="197">
        <f>IFERROR(B15/B$6,0)</f>
        <v/>
      </c>
      <c r="G15" s="197">
        <f>IFERROR(C15/C$6,0)</f>
        <v/>
      </c>
      <c r="H15" s="197">
        <f>IFERROR(D15/D$6,0)</f>
        <v/>
      </c>
    </row>
    <row r="16" ht="16.5" customHeight="1" s="175">
      <c r="A16" s="200" t="inlineStr">
        <is>
          <t>P2 · Construction</t>
        </is>
      </c>
      <c r="B16" s="201">
        <f>P1_COSTING!C25</f>
        <v/>
      </c>
      <c r="C16" s="201">
        <f>P2_COSTING!C15</f>
        <v/>
      </c>
      <c r="D16" s="201">
        <f>P3_COSTING!C12</f>
        <v/>
      </c>
      <c r="E16" s="202">
        <f>SUM(B16:D16)</f>
        <v/>
      </c>
      <c r="F16" s="203">
        <f>IFERROR(B16/B$6,0)</f>
        <v/>
      </c>
      <c r="G16" s="203">
        <f>IFERROR(C16/C$6,0)</f>
        <v/>
      </c>
      <c r="H16" s="203">
        <f>IFERROR(D16/D$6,0)</f>
        <v/>
      </c>
    </row>
    <row r="17" ht="16.5" customHeight="1" s="175">
      <c r="A17" s="204" t="inlineStr">
        <is>
          <t>P3 · Infra + Stat</t>
        </is>
      </c>
      <c r="B17" s="205">
        <f>P1_COSTING!C37</f>
        <v/>
      </c>
      <c r="C17" s="205">
        <f>P2_COSTING!C21</f>
        <v/>
      </c>
      <c r="D17" s="205">
        <f>P3_COSTING!C16</f>
        <v/>
      </c>
      <c r="E17" s="206">
        <f>SUM(B17:D17)</f>
        <v/>
      </c>
      <c r="F17" s="207">
        <f>IFERROR(B17/B$6,0)</f>
        <v/>
      </c>
      <c r="G17" s="207">
        <f>IFERROR(C17/C$6,0)</f>
        <v/>
      </c>
      <c r="H17" s="207">
        <f>IFERROR(D17/D$6,0)</f>
        <v/>
      </c>
    </row>
    <row r="18" ht="16.5" customHeight="1" s="175">
      <c r="A18" s="208" t="inlineStr">
        <is>
          <t>P4 · Professional</t>
        </is>
      </c>
      <c r="B18" s="209">
        <f>P1_COSTING!C48</f>
        <v/>
      </c>
      <c r="C18" s="209">
        <f>P2_COSTING!C25</f>
        <v/>
      </c>
      <c r="D18" s="209">
        <f>P3_COSTING!C20</f>
        <v/>
      </c>
      <c r="E18" s="210">
        <f>SUM(B18:D18)</f>
        <v/>
      </c>
      <c r="F18" s="211">
        <f>IFERROR(B18/B$6,0)</f>
        <v/>
      </c>
      <c r="G18" s="211">
        <f>IFERROR(C18/C$6,0)</f>
        <v/>
      </c>
      <c r="H18" s="211">
        <f>IFERROR(D18/D$6,0)</f>
        <v/>
      </c>
    </row>
    <row r="19" ht="16.5" customHeight="1" s="175">
      <c r="A19" s="212" t="inlineStr">
        <is>
          <t>P5 · Finance + Mktg</t>
        </is>
      </c>
      <c r="B19" s="213">
        <f>P1_COSTING!C59</f>
        <v/>
      </c>
      <c r="C19" s="213">
        <f>P2_COSTING!C30</f>
        <v/>
      </c>
      <c r="D19" s="213">
        <f>P3_COSTING!C24</f>
        <v/>
      </c>
      <c r="E19" s="214">
        <f>SUM(B19:D19)</f>
        <v/>
      </c>
      <c r="F19" s="215">
        <f>IFERROR(B19/B$6,0)</f>
        <v/>
      </c>
      <c r="G19" s="215">
        <f>IFERROR(C19/C$6,0)</f>
        <v/>
      </c>
      <c r="H19" s="215">
        <f>IFERROR(D19/D$6,0)</f>
        <v/>
      </c>
    </row>
    <row r="20" ht="24" customHeight="1" s="175">
      <c r="A20" s="216" t="inlineStr">
        <is>
          <t>GROSS DEVELOPMENT COST (GDC)</t>
        </is>
      </c>
      <c r="B20" s="217">
        <f>SUM(B15:B19)</f>
        <v/>
      </c>
      <c r="C20" s="217">
        <f>SUM(C15:C19)</f>
        <v/>
      </c>
      <c r="D20" s="217">
        <f>SUM(D15:D19)</f>
        <v/>
      </c>
      <c r="E20" s="217">
        <f>SUM(B20:D20)</f>
        <v/>
      </c>
      <c r="F20" s="218">
        <f>IFERROR(B20/B12,0)</f>
        <v/>
      </c>
      <c r="G20" s="218">
        <f>IFERROR(C20/C12,0)</f>
        <v/>
      </c>
      <c r="H20" s="218">
        <f>IFERROR(D20/D12,0)</f>
        <v/>
      </c>
    </row>
    <row r="21" ht="6" customHeight="1" s="175">
      <c r="A21" s="192" t="n"/>
    </row>
    <row r="22" ht="21.75" customHeight="1" s="175">
      <c r="A22" s="219" t="inlineStr">
        <is>
          <t>PROFIT BEFORE TAX (PBT)</t>
        </is>
      </c>
      <c r="B22" s="220">
        <f>B12-B20</f>
        <v/>
      </c>
      <c r="C22" s="220">
        <f>C12-C20</f>
        <v/>
      </c>
      <c r="D22" s="220">
        <f>D12-D20</f>
        <v/>
      </c>
      <c r="E22" s="220">
        <f>SUM(B22:D22)</f>
        <v/>
      </c>
      <c r="F22" s="221">
        <f>IFERROR(B22/B12,0)</f>
        <v/>
      </c>
      <c r="G22" s="221">
        <f>IFERROR(C22/C12,0)</f>
        <v/>
      </c>
      <c r="H22" s="221">
        <f>IFERROR(D22/D12,0)</f>
        <v/>
      </c>
    </row>
    <row r="23" ht="6" customHeight="1" s="175">
      <c r="A23" s="192" t="n"/>
    </row>
    <row r="24" ht="18" customHeight="1" s="175">
      <c r="A24" s="183" t="inlineStr">
        <is>
          <t>KEY RATIOS &amp; CHECKS</t>
        </is>
      </c>
      <c r="B24" s="184" t="n"/>
      <c r="C24" s="184" t="n"/>
      <c r="D24" s="184" t="n"/>
      <c r="E24" s="184" t="n"/>
      <c r="F24" s="184" t="n"/>
      <c r="G24" s="184" t="n"/>
      <c r="H24" s="185" t="n"/>
    </row>
    <row r="25" ht="15" customHeight="1" s="175">
      <c r="A25" s="222" t="inlineStr">
        <is>
          <t>Profit Margin (PBT / Net GDV)</t>
        </is>
      </c>
      <c r="B25" s="223">
        <f>IFERROR(B22/B12,0)</f>
        <v/>
      </c>
      <c r="C25" s="223">
        <f>IFERROR(C22/C12,0)</f>
        <v/>
      </c>
      <c r="D25" s="223">
        <f>IFERROR(D22/D12,0)</f>
        <v/>
      </c>
      <c r="E25" s="223">
        <f>IFERROR(E22/E12,0)</f>
        <v/>
      </c>
      <c r="F25" s="224" t="n"/>
      <c r="G25" s="224" t="n"/>
      <c r="H25" s="224" t="n"/>
    </row>
    <row r="26" ht="15" customHeight="1" s="175">
      <c r="A26" s="222" t="inlineStr">
        <is>
          <t>Land Cost / Net GDV</t>
        </is>
      </c>
      <c r="B26" s="225">
        <f>IFERROR(B15/B12,0)</f>
        <v/>
      </c>
      <c r="C26" s="225">
        <f>IFERROR(C15/C12,0)</f>
        <v/>
      </c>
      <c r="D26" s="225">
        <f>IFERROR(D15/D12,0)</f>
        <v/>
      </c>
      <c r="E26" s="225">
        <f>IFERROR(E15/E12,0)</f>
        <v/>
      </c>
      <c r="F26" s="224" t="n"/>
      <c r="G26" s="224" t="n"/>
      <c r="H26" s="224" t="n"/>
    </row>
    <row r="27" ht="15" customHeight="1" s="175">
      <c r="A27" s="222" t="inlineStr">
        <is>
          <t>Construction Cost / Net GDV</t>
        </is>
      </c>
      <c r="B27" s="225">
        <f>IFERROR(B16/B12,0)</f>
        <v/>
      </c>
      <c r="C27" s="225">
        <f>IFERROR(C16/C12,0)</f>
        <v/>
      </c>
      <c r="D27" s="225">
        <f>IFERROR(D16/D12,0)</f>
        <v/>
      </c>
      <c r="E27" s="225">
        <f>IFERROR(E16/E12,0)</f>
        <v/>
      </c>
      <c r="F27" s="224" t="n"/>
      <c r="G27" s="224" t="n"/>
      <c r="H27" s="224" t="n"/>
    </row>
    <row r="28" ht="6" customHeight="1" s="175">
      <c r="A28" s="192" t="n"/>
    </row>
    <row r="29" ht="18" customHeight="1" s="175">
      <c r="A29" s="226" t="inlineStr">
        <is>
          <t>⚠  Phase 3 numbers are INDICATIVE ONLY — pending planning approval and market study. Do not use for Board commitment.</t>
        </is>
      </c>
      <c r="B29" s="184" t="n"/>
      <c r="C29" s="184" t="n"/>
      <c r="D29" s="184" t="n"/>
      <c r="E29" s="184" t="n"/>
      <c r="F29" s="184" t="n"/>
      <c r="G29" s="184" t="n"/>
      <c r="H29" s="185" t="n"/>
    </row>
  </sheetData>
  <mergeCells count="12">
    <mergeCell ref="A21:H21"/>
    <mergeCell ref="A5:H5"/>
    <mergeCell ref="A29:H29"/>
    <mergeCell ref="A24:H24"/>
    <mergeCell ref="A2:H2"/>
    <mergeCell ref="A10:H10"/>
    <mergeCell ref="A28:H28"/>
    <mergeCell ref="A13:H13"/>
    <mergeCell ref="A11:H11"/>
    <mergeCell ref="A14:H14"/>
    <mergeCell ref="A1:H1"/>
    <mergeCell ref="A23:H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74" min="1" max="1"/>
    <col width="18" customWidth="1" style="174" min="2" max="2"/>
    <col width="12" customWidth="1" style="174" min="3" max="3"/>
    <col width="32" customWidth="1" style="174" min="4" max="4"/>
  </cols>
  <sheetData>
    <row r="1" ht="25.5" customHeight="1" s="175">
      <c r="A1" s="227" t="inlineStr">
        <is>
          <t>Phase 1 — High-rise Resi (精算)  |  INPUT ASSUMPTIONS  |  状态：精算 — 已规划 ✓</t>
        </is>
      </c>
    </row>
    <row r="2" ht="15" customHeight="1" s="175">
      <c r="A2" s="228" t="inlineStr">
        <is>
          <t>Blue = hardcoded input  |  Black = calculated  |  Gray = TBC / indicative only</t>
        </is>
      </c>
    </row>
    <row r="4" ht="19.5" customHeight="1" s="175">
      <c r="A4" s="183" t="inlineStr">
        <is>
          <t>A · PROJECT INFORMATION</t>
        </is>
      </c>
      <c r="B4" s="184" t="n"/>
      <c r="C4" s="184" t="n"/>
      <c r="D4" s="185" t="n"/>
    </row>
    <row r="5" ht="18" customHeight="1" s="175">
      <c r="A5" s="229" t="inlineStr">
        <is>
          <t>Phase Name</t>
        </is>
      </c>
      <c r="B5" s="230" t="inlineStr">
        <is>
          <t>Phase 1 — High-rise Resi (精算)</t>
        </is>
      </c>
      <c r="C5" s="231" t="n"/>
      <c r="D5" s="232" t="n"/>
    </row>
    <row r="6" ht="18" customHeight="1" s="175">
      <c r="A6" s="229" t="inlineStr">
        <is>
          <t>Product Type</t>
        </is>
      </c>
      <c r="B6" s="230" t="inlineStr">
        <is>
          <t>High-rise Residential</t>
        </is>
      </c>
      <c r="C6" s="231" t="n"/>
      <c r="D6" s="232" t="n"/>
    </row>
    <row r="7" ht="18" customHeight="1" s="175">
      <c r="A7" s="229" t="inlineStr">
        <is>
          <t>Target Launch Date</t>
        </is>
      </c>
      <c r="B7" s="230" t="inlineStr">
        <is>
          <t>Mar 2025</t>
        </is>
      </c>
      <c r="C7" s="231" t="n"/>
      <c r="D7" s="232" t="n"/>
    </row>
    <row r="8" ht="18" customHeight="1" s="175">
      <c r="A8" s="229" t="inlineStr">
        <is>
          <t>Target VP Date</t>
        </is>
      </c>
      <c r="B8" s="230" t="inlineStr">
        <is>
          <t>Dec 2027</t>
        </is>
      </c>
      <c r="C8" s="231" t="n"/>
      <c r="D8" s="232" t="n"/>
    </row>
    <row r="9" ht="18" customHeight="1" s="175">
      <c r="A9" s="229" t="inlineStr">
        <is>
          <t>Construction Period</t>
        </is>
      </c>
      <c r="B9" s="230" t="n">
        <v>30</v>
      </c>
      <c r="C9" s="231" t="inlineStr">
        <is>
          <t>months</t>
        </is>
      </c>
      <c r="D9" s="232" t="n"/>
    </row>
    <row r="11" ht="19.5" customHeight="1" s="175">
      <c r="A11" s="193" t="inlineStr">
        <is>
          <t>B · AREA PARAMETERS</t>
        </is>
      </c>
      <c r="B11" s="184" t="n"/>
      <c r="C11" s="184" t="n"/>
      <c r="D11" s="185" t="n"/>
    </row>
    <row r="12" ht="18" customHeight="1" s="175">
      <c r="A12" s="233" t="inlineStr">
        <is>
          <t>Net Developable Area (NDA)</t>
        </is>
      </c>
      <c r="B12" s="234" t="n">
        <v>4</v>
      </c>
      <c r="C12" s="235" t="inlineStr">
        <is>
          <t>acres</t>
        </is>
      </c>
      <c r="D12" s="236" t="inlineStr">
        <is>
          <t>This phase's allocated NDA</t>
        </is>
      </c>
    </row>
    <row r="13" ht="18" customHeight="1" s="175">
      <c r="A13" s="233" t="inlineStr">
        <is>
          <t>Plot Ratio</t>
        </is>
      </c>
      <c r="B13" s="234" t="n">
        <v>3.5</v>
      </c>
      <c r="C13" s="235" t="n"/>
      <c r="D13" s="236" t="inlineStr">
        <is>
          <t>Per planning approval / assumed</t>
        </is>
      </c>
    </row>
    <row r="14" ht="18" customHeight="1" s="175">
      <c r="A14" s="233" t="inlineStr">
        <is>
          <t>Gross Floor Area (GFA)</t>
        </is>
      </c>
      <c r="B14" s="237">
        <f>B12*43560*B13</f>
        <v/>
      </c>
      <c r="C14" s="235" t="inlineStr">
        <is>
          <t>sqft</t>
        </is>
      </c>
      <c r="D14" s="236" t="inlineStr">
        <is>
          <t>NDA × 43,560 × Plot Ratio</t>
        </is>
      </c>
    </row>
    <row r="15" ht="18" customHeight="1" s="175">
      <c r="A15" s="233" t="inlineStr">
        <is>
          <t>Efficiency Ratio</t>
        </is>
      </c>
      <c r="B15" s="234" t="n">
        <v>0.78</v>
      </c>
      <c r="C15" s="235" t="inlineStr">
        <is>
          <t>%</t>
        </is>
      </c>
      <c r="D15" s="236" t="inlineStr">
        <is>
          <t>GFA → NFA sellable area</t>
        </is>
      </c>
    </row>
    <row r="16" ht="18" customHeight="1" s="175">
      <c r="A16" s="233" t="inlineStr">
        <is>
          <t>Nett Floor Area (NFA) — Sellable</t>
        </is>
      </c>
      <c r="B16" s="237">
        <f>B14*B15</f>
        <v/>
      </c>
      <c r="C16" s="235" t="inlineStr">
        <is>
          <t>sqft</t>
        </is>
      </c>
      <c r="D16" s="236" t="inlineStr">
        <is>
          <t>Base for all psf calculations</t>
        </is>
      </c>
    </row>
    <row r="17" ht="18" customHeight="1" s="175">
      <c r="A17" s="233" t="inlineStr">
        <is>
          <t>Average Unit Size</t>
        </is>
      </c>
      <c r="B17" s="234" t="n">
        <v>900</v>
      </c>
      <c r="C17" s="235" t="inlineStr">
        <is>
          <t>sqft</t>
        </is>
      </c>
      <c r="D17" s="236" t="n"/>
    </row>
    <row r="18" ht="18" customHeight="1" s="175">
      <c r="A18" s="233" t="inlineStr">
        <is>
          <t>Total Units (estimate)</t>
        </is>
      </c>
      <c r="B18" s="237">
        <f>ROUND(B16/B17,0)</f>
        <v/>
      </c>
      <c r="C18" s="235" t="inlineStr">
        <is>
          <t>units</t>
        </is>
      </c>
      <c r="D18" s="236" t="inlineStr">
        <is>
          <t>NFA ÷ avg unit size</t>
        </is>
      </c>
    </row>
    <row r="20" ht="19.5" customHeight="1" s="175">
      <c r="A20" s="238" t="inlineStr">
        <is>
          <t>C · GDV ASSUMPTIONS</t>
        </is>
      </c>
      <c r="B20" s="184" t="n"/>
      <c r="C20" s="184" t="n"/>
      <c r="D20" s="185" t="n"/>
    </row>
    <row r="21" ht="18" customHeight="1" s="175">
      <c r="A21" s="239" t="inlineStr">
        <is>
          <t>Average Selling Price (ASP)</t>
        </is>
      </c>
      <c r="B21" s="240" t="n">
        <v>650</v>
      </c>
      <c r="C21" s="241" t="inlineStr">
        <is>
          <t>RM psf NFA</t>
        </is>
      </c>
      <c r="D21" s="242" t="inlineStr">
        <is>
          <t>Open market; based on market study</t>
        </is>
      </c>
    </row>
    <row r="22" ht="18" customHeight="1" s="175">
      <c r="A22" s="239" t="inlineStr">
        <is>
          <t>Bumi Quota %</t>
        </is>
      </c>
      <c r="B22" s="240" t="n">
        <v>0.3</v>
      </c>
      <c r="C22" s="241" t="inlineStr">
        <is>
          <t>%</t>
        </is>
      </c>
      <c r="D22" s="242" t="inlineStr">
        <is>
          <t>Per DA conditions</t>
        </is>
      </c>
    </row>
    <row r="23" ht="18" customHeight="1" s="175">
      <c r="A23" s="239" t="inlineStr">
        <is>
          <t>Bumi Discount %</t>
        </is>
      </c>
      <c r="B23" s="240" t="n">
        <v>0.07000000000000001</v>
      </c>
      <c r="C23" s="241" t="inlineStr">
        <is>
          <t>%</t>
        </is>
      </c>
      <c r="D23" s="242" t="inlineStr">
        <is>
          <t>Applied to Bumi units only</t>
        </is>
      </c>
    </row>
    <row r="24" ht="18" customHeight="1" s="175">
      <c r="A24" s="239" t="inlineStr">
        <is>
          <t>Affordable / Low-cost %</t>
        </is>
      </c>
      <c r="B24" s="240" t="n">
        <v>0.1</v>
      </c>
      <c r="C24" s="241" t="inlineStr">
        <is>
          <t>%</t>
        </is>
      </c>
      <c r="D24" s="242" t="n"/>
    </row>
    <row r="25" ht="18" customHeight="1" s="175">
      <c r="A25" s="239" t="inlineStr">
        <is>
          <t>Affordable Unit Price (RM/unit)</t>
        </is>
      </c>
      <c r="B25" s="240" t="n">
        <v>42000</v>
      </c>
      <c r="C25" s="241" t="inlineStr">
        <is>
          <t>RM/unit</t>
        </is>
      </c>
      <c r="D25" s="242" t="inlineStr">
        <is>
          <t>Fixed by authority</t>
        </is>
      </c>
    </row>
    <row r="26" ht="18" customHeight="1" s="175">
      <c r="A26" s="239" t="inlineStr">
        <is>
          <t>Car Park Bays (extra sold)</t>
        </is>
      </c>
      <c r="B26" s="240" t="n">
        <v>80</v>
      </c>
      <c r="C26" s="241" t="inlineStr">
        <is>
          <t>bays</t>
        </is>
      </c>
      <c r="D26" s="242" t="n"/>
    </row>
    <row r="27" ht="18" customHeight="1" s="175">
      <c r="A27" s="239" t="inlineStr">
        <is>
          <t>Car Park Price / Bay</t>
        </is>
      </c>
      <c r="B27" s="240" t="n">
        <v>45000</v>
      </c>
      <c r="C27" s="241" t="inlineStr">
        <is>
          <t>RM/bay</t>
        </is>
      </c>
      <c r="D27" s="242" t="n"/>
    </row>
    <row r="29" ht="18" customHeight="1" s="175">
      <c r="A29" s="239" t="inlineStr">
        <is>
          <t>Gross GDV (open market)</t>
        </is>
      </c>
      <c r="B29" s="243">
        <f>B16*B21</f>
        <v/>
      </c>
      <c r="C29" s="241" t="inlineStr">
        <is>
          <t>RM</t>
        </is>
      </c>
      <c r="D29" s="242" t="inlineStr">
        <is>
          <t>NFA × ASP</t>
        </is>
      </c>
    </row>
    <row r="30" ht="18" customHeight="1" s="175">
      <c r="A30" s="239" t="inlineStr">
        <is>
          <t>Less: Bumi Discount</t>
        </is>
      </c>
      <c r="B30" s="243">
        <f>-(B16*B22*B21*B23)</f>
        <v/>
      </c>
      <c r="C30" s="241" t="inlineStr">
        <is>
          <t>RM</t>
        </is>
      </c>
      <c r="D30" s="242" t="inlineStr">
        <is>
          <t>Bumi NFA × ASP × disc%</t>
        </is>
      </c>
    </row>
    <row r="31" ht="18" customHeight="1" s="175">
      <c r="A31" s="239" t="inlineStr">
        <is>
          <t>Less: Affordable Subsidy</t>
        </is>
      </c>
      <c r="B31" s="243">
        <f>-(B18*B24*(B21*B17-B25))</f>
        <v/>
      </c>
      <c r="C31" s="241" t="inlineStr">
        <is>
          <t>RM</t>
        </is>
      </c>
      <c r="D31" s="242" t="inlineStr">
        <is>
          <t>Units × aff% × (mkt−fixed price)</t>
        </is>
      </c>
    </row>
    <row r="32" ht="18" customHeight="1" s="175">
      <c r="A32" s="239" t="inlineStr">
        <is>
          <t>Car Park Revenue</t>
        </is>
      </c>
      <c r="B32" s="243">
        <f>B26*B27</f>
        <v/>
      </c>
      <c r="C32" s="241" t="inlineStr">
        <is>
          <t>RM</t>
        </is>
      </c>
      <c r="D32" s="242" t="n"/>
    </row>
    <row r="34" ht="21.75" customHeight="1" s="175">
      <c r="A34" s="244" t="inlineStr">
        <is>
          <t>NET GDV</t>
        </is>
      </c>
      <c r="B34" s="245">
        <f>SUM(B29:B32)</f>
        <v/>
      </c>
      <c r="C34" s="246" t="inlineStr">
        <is>
          <t>RM</t>
        </is>
      </c>
      <c r="D34" s="247" t="inlineStr">
        <is>
          <t xml:space="preserve"> Gross GDV − Bumi Discount − Affordable subsidy + Car Park</t>
        </is>
      </c>
    </row>
  </sheetData>
  <mergeCells count="5">
    <mergeCell ref="A1:D1"/>
    <mergeCell ref="A4:D4"/>
    <mergeCell ref="A20:D20"/>
    <mergeCell ref="A2:D2"/>
    <mergeCell ref="A11:D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174" min="1" max="1"/>
    <col width="36" customWidth="1" style="174" min="2" max="2"/>
    <col width="16" customWidth="1" style="174" min="3" max="4"/>
    <col width="14" customWidth="1" style="174" min="5" max="6"/>
    <col width="13" customWidth="1" style="174" min="7" max="8"/>
    <col width="20" customWidth="1" style="174" min="9" max="9"/>
  </cols>
  <sheetData>
    <row r="1" ht="25.5" customHeight="1" s="175">
      <c r="A1" s="227" t="inlineStr">
        <is>
          <t>Phase 1 — High-rise Resi (精算)  |  GDC — 5 PILLARS COSTING  |  精算 — 已规划 ✓</t>
        </is>
      </c>
    </row>
    <row r="2" ht="15" customHeight="1" s="175">
      <c r="A2" s="228" t="inlineStr">
        <is>
          <t>C = Budget (RM)  |  D = Committed  |  E = Actual  |  G = Budget psf NFA  |  I = % of Net GDV</t>
        </is>
      </c>
    </row>
    <row r="3" ht="27.75" customHeight="1" s="175">
      <c r="A3" s="182" t="inlineStr">
        <is>
          <t>#</t>
        </is>
      </c>
      <c r="B3" s="182" t="inlineStr">
        <is>
          <t>Cost Item</t>
        </is>
      </c>
      <c r="C3" s="182" t="inlineStr">
        <is>
          <t>Budget (RM)</t>
        </is>
      </c>
      <c r="D3" s="182" t="inlineStr">
        <is>
          <t>Committed (RM)</t>
        </is>
      </c>
      <c r="E3" s="182" t="inlineStr">
        <is>
          <t>Actual (RM)</t>
        </is>
      </c>
      <c r="F3" s="182" t="inlineStr">
        <is>
          <t>Variance</t>
        </is>
      </c>
      <c r="G3" s="182" t="inlineStr">
        <is>
          <t>Budget psf</t>
        </is>
      </c>
      <c r="H3" s="182" t="inlineStr">
        <is>
          <t>Actual psf</t>
        </is>
      </c>
      <c r="I3" s="182" t="inlineStr">
        <is>
          <t>% Net GDV</t>
        </is>
      </c>
    </row>
    <row r="5" ht="19.5" customHeight="1" s="175">
      <c r="A5" s="248" t="inlineStr">
        <is>
          <t>P1</t>
        </is>
      </c>
      <c r="B5" s="193" t="inlineStr">
        <is>
          <t>PILLAR 1 · LAND COST</t>
        </is>
      </c>
      <c r="C5" s="184" t="n"/>
      <c r="D5" s="184" t="n"/>
      <c r="E5" s="184" t="n"/>
      <c r="F5" s="185" t="n"/>
      <c r="G5" s="249" t="n"/>
      <c r="H5" s="249" t="n"/>
      <c r="I5" s="250" t="inlineStr">
        <is>
          <t>Target: 15–25% Net GDV</t>
        </is>
      </c>
    </row>
    <row r="6" ht="16.5" customHeight="1" s="175">
      <c r="A6" s="251" t="inlineStr">
        <is>
          <t>1.1</t>
        </is>
      </c>
      <c r="B6" s="252" t="inlineStr">
        <is>
          <t xml:space="preserve">    Land Purchase Price (this phase share)</t>
        </is>
      </c>
      <c r="C6" s="253" t="n">
        <v>12000000</v>
      </c>
      <c r="D6" s="253" t="n">
        <v>0</v>
      </c>
      <c r="E6" s="253" t="n">
        <v>0</v>
      </c>
      <c r="F6" s="237">
        <f>C6-E6</f>
        <v/>
      </c>
      <c r="G6" s="254">
        <f>IFERROR(C6/P1_INPUT!B16,0)</f>
        <v/>
      </c>
      <c r="H6" s="254">
        <f>IFERROR(E6/P1_INPUT!B16,0)</f>
        <v/>
      </c>
      <c r="I6" s="236" t="inlineStr">
        <is>
          <t>Allocated by NDA % from master land cost</t>
        </is>
      </c>
    </row>
    <row r="7" ht="16.5" customHeight="1" s="175">
      <c r="A7" s="251" t="inlineStr">
        <is>
          <t>1.2</t>
        </is>
      </c>
      <c r="B7" s="252" t="inlineStr">
        <is>
          <t xml:space="preserve">    Stamp Duty</t>
        </is>
      </c>
      <c r="C7" s="237">
        <f>IFERROR(IF(C6&lt;=100000,C6*0.01,IF(C6&lt;=500000,1000+(C6-100000)*0.02,IF(C6&lt;=1000000,9000+(C6-500000)*0.03,24000+(C6-1000000)*0.04))),0)</f>
        <v/>
      </c>
      <c r="D7" s="253" t="n">
        <v>0</v>
      </c>
      <c r="E7" s="253" t="n">
        <v>0</v>
      </c>
      <c r="F7" s="237">
        <f>C7-E7</f>
        <v/>
      </c>
      <c r="G7" s="254">
        <f>IFERROR(C7/P1_INPUT!B16,0)</f>
        <v/>
      </c>
      <c r="H7" s="254">
        <f>IFERROR(E7/P1_INPUT!B16,0)</f>
        <v/>
      </c>
      <c r="I7" s="236" t="inlineStr">
        <is>
          <t>Tiered 1/2/3/4%</t>
        </is>
      </c>
    </row>
    <row r="8" ht="16.5" customHeight="1" s="175">
      <c r="A8" s="251" t="inlineStr">
        <is>
          <t>1.3</t>
        </is>
      </c>
      <c r="B8" s="252" t="inlineStr">
        <is>
          <t xml:space="preserve">    Legal Fees</t>
        </is>
      </c>
      <c r="C8" s="237">
        <f>C6*0.01</f>
        <v/>
      </c>
      <c r="D8" s="253" t="n">
        <v>0</v>
      </c>
      <c r="E8" s="253" t="n">
        <v>0</v>
      </c>
      <c r="F8" s="237">
        <f>C8-E8</f>
        <v/>
      </c>
      <c r="G8" s="254">
        <f>IFERROR(C8/P1_INPUT!B16,0)</f>
        <v/>
      </c>
      <c r="H8" s="254">
        <f>IFERROR(E8/P1_INPUT!B16,0)</f>
        <v/>
      </c>
      <c r="I8" s="236" t="inlineStr">
        <is>
          <t>~1% of land price</t>
        </is>
      </c>
    </row>
    <row r="9" ht="16.5" customHeight="1" s="175">
      <c r="A9" s="251" t="inlineStr">
        <is>
          <t>1.4</t>
        </is>
      </c>
      <c r="B9" s="252" t="inlineStr">
        <is>
          <t xml:space="preserve">    Conversion Premium</t>
        </is>
      </c>
      <c r="C9" s="253" t="n">
        <v>500000</v>
      </c>
      <c r="D9" s="253" t="n">
        <v>0</v>
      </c>
      <c r="E9" s="253" t="n">
        <v>0</v>
      </c>
      <c r="F9" s="237">
        <f>C9-E9</f>
        <v/>
      </c>
      <c r="G9" s="254">
        <f>IFERROR(C9/P1_INPUT!B16,0)</f>
        <v/>
      </c>
      <c r="H9" s="254">
        <f>IFERROR(E9/P1_INPUT!B16,0)</f>
        <v/>
      </c>
      <c r="I9" s="236" t="inlineStr">
        <is>
          <t>Agri→Building; state authority</t>
        </is>
      </c>
    </row>
    <row r="10" ht="16.5" customHeight="1" s="175">
      <c r="A10" s="251" t="inlineStr">
        <is>
          <t>1.5</t>
        </is>
      </c>
      <c r="B10" s="252" t="inlineStr">
        <is>
          <t xml:space="preserve">    Holding Interest (land loan)</t>
        </is>
      </c>
      <c r="C10" s="253" t="n">
        <v>400000</v>
      </c>
      <c r="D10" s="253" t="n">
        <v>0</v>
      </c>
      <c r="E10" s="253" t="n">
        <v>0</v>
      </c>
      <c r="F10" s="237">
        <f>C10-E10</f>
        <v/>
      </c>
      <c r="G10" s="254">
        <f>IFERROR(C10/P1_INPUT!B16,0)</f>
        <v/>
      </c>
      <c r="H10" s="254">
        <f>IFERROR(E10/P1_INPUT!B16,0)</f>
        <v/>
      </c>
      <c r="I10" s="236" t="inlineStr">
        <is>
          <t>Land loan interest to launch</t>
        </is>
      </c>
    </row>
    <row r="11" ht="16.5" customHeight="1" s="175">
      <c r="A11" s="251" t="inlineStr">
        <is>
          <t>1.6</t>
        </is>
      </c>
      <c r="B11" s="252" t="inlineStr">
        <is>
          <t xml:space="preserve">    Valuation + Misc</t>
        </is>
      </c>
      <c r="C11" s="237">
        <f>C6*0.004</f>
        <v/>
      </c>
      <c r="D11" s="253" t="n">
        <v>0</v>
      </c>
      <c r="E11" s="253" t="n">
        <v>0</v>
      </c>
      <c r="F11" s="237">
        <f>C11-E11</f>
        <v/>
      </c>
      <c r="G11" s="254">
        <f>IFERROR(C11/P1_INPUT!B16,0)</f>
        <v/>
      </c>
      <c r="H11" s="254">
        <f>IFERROR(E11/P1_INPUT!B16,0)</f>
        <v/>
      </c>
      <c r="I11" s="236" t="inlineStr">
        <is>
          <t>Valuer + misc legal</t>
        </is>
      </c>
    </row>
    <row r="12" ht="19.5" customHeight="1" s="175">
      <c r="A12" s="249" t="n"/>
      <c r="B12" s="193" t="inlineStr">
        <is>
          <t>PILLAR 1 TOTAL</t>
        </is>
      </c>
      <c r="C12" s="255">
        <f>SUM(C6:C11)</f>
        <v/>
      </c>
      <c r="D12" s="255">
        <f>SUM(D6:D11)</f>
        <v/>
      </c>
      <c r="E12" s="255">
        <f>SUM(E6:E11)</f>
        <v/>
      </c>
      <c r="F12" s="255">
        <f>C12-E12</f>
        <v/>
      </c>
      <c r="G12" s="256">
        <f>IFERROR(C12/P1_INPUT!B16,0)</f>
        <v/>
      </c>
      <c r="H12" s="256">
        <f>IFERROR(E12/P1_INPUT!B16,0)</f>
        <v/>
      </c>
      <c r="I12" s="257">
        <f>IFERROR(C12/P1_INPUT!B34,0)</f>
        <v/>
      </c>
    </row>
    <row r="13" ht="6" customHeight="1" s="175">
      <c r="A13" s="258" t="n"/>
      <c r="B13" s="184" t="n"/>
      <c r="C13" s="184" t="n"/>
      <c r="D13" s="184" t="n"/>
      <c r="E13" s="184" t="n"/>
      <c r="F13" s="184" t="n"/>
      <c r="G13" s="184" t="n"/>
      <c r="H13" s="184" t="n"/>
      <c r="I13" s="184" t="n"/>
    </row>
    <row r="14" ht="19.5" customHeight="1" s="175">
      <c r="A14" s="259" t="inlineStr">
        <is>
          <t>P2</t>
        </is>
      </c>
      <c r="B14" s="226" t="inlineStr">
        <is>
          <t>PILLAR 2 · CONSTRUCTION COST</t>
        </is>
      </c>
      <c r="C14" s="184" t="n"/>
      <c r="D14" s="184" t="n"/>
      <c r="E14" s="184" t="n"/>
      <c r="F14" s="185" t="n"/>
      <c r="G14" s="260" t="n"/>
      <c r="H14" s="260" t="n"/>
      <c r="I14" s="261" t="inlineStr">
        <is>
          <t>Target: 45–50% Net GDV</t>
        </is>
      </c>
    </row>
    <row r="15" ht="16.5" customHeight="1" s="175">
      <c r="A15" s="262" t="inlineStr">
        <is>
          <t>2.1</t>
        </is>
      </c>
      <c r="B15" s="263" t="inlineStr">
        <is>
          <t xml:space="preserve">    Piling Works</t>
        </is>
      </c>
      <c r="C15" s="264" t="n">
        <v>3200000</v>
      </c>
      <c r="D15" s="264" t="n">
        <v>0</v>
      </c>
      <c r="E15" s="264" t="n">
        <v>0</v>
      </c>
      <c r="F15" s="265">
        <f>C15-E15</f>
        <v/>
      </c>
      <c r="G15" s="266">
        <f>IFERROR(C15/P1_INPUT!B16,0)</f>
        <v/>
      </c>
      <c r="H15" s="266">
        <f>IFERROR(E15/P1_INPUT!B16,0)</f>
        <v/>
      </c>
      <c r="I15" s="267" t="inlineStr">
        <is>
          <t>Bored/driven per soil report</t>
        </is>
      </c>
    </row>
    <row r="16" ht="16.5" customHeight="1" s="175">
      <c r="A16" s="262" t="inlineStr">
        <is>
          <t>2.2</t>
        </is>
      </c>
      <c r="B16" s="263" t="inlineStr">
        <is>
          <t xml:space="preserve">    Substructure</t>
        </is>
      </c>
      <c r="C16" s="264" t="n">
        <v>2600000</v>
      </c>
      <c r="D16" s="264" t="n">
        <v>0</v>
      </c>
      <c r="E16" s="264" t="n">
        <v>0</v>
      </c>
      <c r="F16" s="265">
        <f>C16-E16</f>
        <v/>
      </c>
      <c r="G16" s="266">
        <f>IFERROR(C16/P1_INPUT!B16,0)</f>
        <v/>
      </c>
      <c r="H16" s="266">
        <f>IFERROR(E16/P1_INPUT!B16,0)</f>
        <v/>
      </c>
      <c r="I16" s="267" t="inlineStr">
        <is>
          <t>Foundation, pile caps, basement</t>
        </is>
      </c>
    </row>
    <row r="17" ht="16.5" customHeight="1" s="175">
      <c r="A17" s="262" t="inlineStr">
        <is>
          <t>2.3</t>
        </is>
      </c>
      <c r="B17" s="263" t="inlineStr">
        <is>
          <t xml:space="preserve">    Superstructure — C&amp;S</t>
        </is>
      </c>
      <c r="C17" s="264" t="n">
        <v>15200000</v>
      </c>
      <c r="D17" s="264" t="n">
        <v>0</v>
      </c>
      <c r="E17" s="264" t="n">
        <v>0</v>
      </c>
      <c r="F17" s="265">
        <f>C17-E17</f>
        <v/>
      </c>
      <c r="G17" s="266">
        <f>IFERROR(C17/P1_INPUT!B16,0)</f>
        <v/>
      </c>
      <c r="H17" s="266">
        <f>IFERROR(E17/P1_INPUT!B16,0)</f>
        <v/>
      </c>
      <c r="I17" s="267" t="inlineStr">
        <is>
          <t>RC frame, beams, slabs</t>
        </is>
      </c>
    </row>
    <row r="18" ht="16.5" customHeight="1" s="175">
      <c r="A18" s="262" t="inlineStr">
        <is>
          <t>2.4</t>
        </is>
      </c>
      <c r="B18" s="263" t="inlineStr">
        <is>
          <t xml:space="preserve">    Architectural Works</t>
        </is>
      </c>
      <c r="C18" s="264" t="n">
        <v>8800000</v>
      </c>
      <c r="D18" s="264" t="n">
        <v>0</v>
      </c>
      <c r="E18" s="264" t="n">
        <v>0</v>
      </c>
      <c r="F18" s="265">
        <f>C18-E18</f>
        <v/>
      </c>
      <c r="G18" s="266">
        <f>IFERROR(C18/P1_INPUT!B16,0)</f>
        <v/>
      </c>
      <c r="H18" s="266">
        <f>IFERROR(E18/P1_INPUT!B16,0)</f>
        <v/>
      </c>
      <c r="I18" s="267" t="inlineStr">
        <is>
          <t>Façade, partitions, finishes</t>
        </is>
      </c>
    </row>
    <row r="19" ht="16.5" customHeight="1" s="175">
      <c r="A19" s="262" t="inlineStr">
        <is>
          <t>2.5</t>
        </is>
      </c>
      <c r="B19" s="263" t="inlineStr">
        <is>
          <t xml:space="preserve">    M&amp;E — Mechanical</t>
        </is>
      </c>
      <c r="C19" s="264" t="n">
        <v>3600000</v>
      </c>
      <c r="D19" s="264" t="n">
        <v>0</v>
      </c>
      <c r="E19" s="264" t="n">
        <v>0</v>
      </c>
      <c r="F19" s="265">
        <f>C19-E19</f>
        <v/>
      </c>
      <c r="G19" s="266">
        <f>IFERROR(C19/P1_INPUT!B16,0)</f>
        <v/>
      </c>
      <c r="H19" s="266">
        <f>IFERROR(E19/P1_INPUT!B16,0)</f>
        <v/>
      </c>
      <c r="I19" s="267" t="inlineStr">
        <is>
          <t>HVAC, fire, lifts</t>
        </is>
      </c>
    </row>
    <row r="20" ht="16.5" customHeight="1" s="175">
      <c r="A20" s="262" t="inlineStr">
        <is>
          <t>2.6</t>
        </is>
      </c>
      <c r="B20" s="263" t="inlineStr">
        <is>
          <t xml:space="preserve">    M&amp;E — Electrical</t>
        </is>
      </c>
      <c r="C20" s="264" t="n">
        <v>3000000</v>
      </c>
      <c r="D20" s="264" t="n">
        <v>0</v>
      </c>
      <c r="E20" s="264" t="n">
        <v>0</v>
      </c>
      <c r="F20" s="265">
        <f>C20-E20</f>
        <v/>
      </c>
      <c r="G20" s="266">
        <f>IFERROR(C20/P1_INPUT!B16,0)</f>
        <v/>
      </c>
      <c r="H20" s="266">
        <f>IFERROR(E20/P1_INPUT!B16,0)</f>
        <v/>
      </c>
      <c r="I20" s="267" t="inlineStr">
        <is>
          <t>LV/HV, lighting, ELV</t>
        </is>
      </c>
    </row>
    <row r="21" ht="16.5" customHeight="1" s="175">
      <c r="A21" s="262" t="inlineStr">
        <is>
          <t>2.7</t>
        </is>
      </c>
      <c r="B21" s="263" t="inlineStr">
        <is>
          <t xml:space="preserve">    Plumbing &amp; Sanitary</t>
        </is>
      </c>
      <c r="C21" s="264" t="n">
        <v>1600000</v>
      </c>
      <c r="D21" s="264" t="n">
        <v>0</v>
      </c>
      <c r="E21" s="264" t="n">
        <v>0</v>
      </c>
      <c r="F21" s="265">
        <f>C21-E21</f>
        <v/>
      </c>
      <c r="G21" s="266">
        <f>IFERROR(C21/P1_INPUT!B16,0)</f>
        <v/>
      </c>
      <c r="H21" s="266">
        <f>IFERROR(E21/P1_INPUT!B16,0)</f>
        <v/>
      </c>
      <c r="I21" s="267" t="inlineStr">
        <is>
          <t>Water supply &amp; sewerage</t>
        </is>
      </c>
    </row>
    <row r="22" ht="16.5" customHeight="1" s="175">
      <c r="A22" s="262" t="inlineStr">
        <is>
          <t>2.8</t>
        </is>
      </c>
      <c r="B22" s="263" t="inlineStr">
        <is>
          <t xml:space="preserve">    Landscaping (Internal)</t>
        </is>
      </c>
      <c r="C22" s="264" t="n">
        <v>800000</v>
      </c>
      <c r="D22" s="264" t="n">
        <v>0</v>
      </c>
      <c r="E22" s="264" t="n">
        <v>0</v>
      </c>
      <c r="F22" s="265">
        <f>C22-E22</f>
        <v/>
      </c>
      <c r="G22" s="266">
        <f>IFERROR(C22/P1_INPUT!B16,0)</f>
        <v/>
      </c>
      <c r="H22" s="266">
        <f>IFERROR(E22/P1_INPUT!B16,0)</f>
        <v/>
      </c>
      <c r="I22" s="267" t="inlineStr">
        <is>
          <t>Podium, pool, gym</t>
        </is>
      </c>
    </row>
    <row r="23" ht="16.5" customHeight="1" s="175">
      <c r="A23" s="262" t="inlineStr">
        <is>
          <t>2.9</t>
        </is>
      </c>
      <c r="B23" s="263" t="inlineStr">
        <is>
          <t xml:space="preserve">    Preliminaries</t>
        </is>
      </c>
      <c r="C23" s="265">
        <f>SUM(C15:C22)*0.08</f>
        <v/>
      </c>
      <c r="D23" s="264" t="n">
        <v>0</v>
      </c>
      <c r="E23" s="264" t="n">
        <v>0</v>
      </c>
      <c r="F23" s="265">
        <f>C23-E23</f>
        <v/>
      </c>
      <c r="G23" s="266">
        <f>IFERROR(C23/P1_INPUT!B16,0)</f>
        <v/>
      </c>
      <c r="H23" s="266">
        <f>IFERROR(E23/P1_INPUT!B16,0)</f>
        <v/>
      </c>
      <c r="I23" s="267" t="inlineStr">
        <is>
          <t>~8% of trade works</t>
        </is>
      </c>
    </row>
    <row r="24" ht="16.5" customHeight="1" s="175">
      <c r="A24" s="262" t="inlineStr">
        <is>
          <t>2.10</t>
        </is>
      </c>
      <c r="B24" s="263" t="inlineStr">
        <is>
          <t xml:space="preserve">    Contingency (5%)</t>
        </is>
      </c>
      <c r="C24" s="265">
        <f>SUM(C15:C23)*0.05</f>
        <v/>
      </c>
      <c r="D24" s="264" t="n">
        <v>0</v>
      </c>
      <c r="E24" s="264" t="n">
        <v>0</v>
      </c>
      <c r="F24" s="265">
        <f>C24-E24</f>
        <v/>
      </c>
      <c r="G24" s="266">
        <f>IFERROR(C24/P1_INPUT!B16,0)</f>
        <v/>
      </c>
      <c r="H24" s="266">
        <f>IFERROR(E24/P1_INPUT!B16,0)</f>
        <v/>
      </c>
      <c r="I24" s="267" t="inlineStr">
        <is>
          <t>For approved VOs</t>
        </is>
      </c>
    </row>
    <row r="25" ht="19.5" customHeight="1" s="175">
      <c r="A25" s="260" t="n"/>
      <c r="B25" s="226" t="inlineStr">
        <is>
          <t>PILLAR 2 TOTAL</t>
        </is>
      </c>
      <c r="C25" s="268">
        <f>SUM(C15:C24)</f>
        <v/>
      </c>
      <c r="D25" s="268">
        <f>SUM(D15:D24)</f>
        <v/>
      </c>
      <c r="E25" s="268">
        <f>SUM(E15:E24)</f>
        <v/>
      </c>
      <c r="F25" s="268">
        <f>C25-E25</f>
        <v/>
      </c>
      <c r="G25" s="269">
        <f>IFERROR(C25/P1_INPUT!B16,0)</f>
        <v/>
      </c>
      <c r="H25" s="269">
        <f>IFERROR(E25/P1_INPUT!B16,0)</f>
        <v/>
      </c>
      <c r="I25" s="270">
        <f>IFERROR(C25/P1_INPUT!B34,0)</f>
        <v/>
      </c>
    </row>
    <row r="26" ht="6" customHeight="1" s="175">
      <c r="A26" s="258" t="n"/>
      <c r="B26" s="184" t="n"/>
      <c r="C26" s="184" t="n"/>
      <c r="D26" s="184" t="n"/>
      <c r="E26" s="184" t="n"/>
      <c r="F26" s="184" t="n"/>
      <c r="G26" s="184" t="n"/>
      <c r="H26" s="184" t="n"/>
      <c r="I26" s="184" t="n"/>
    </row>
    <row r="27" ht="19.5" customHeight="1" s="175">
      <c r="A27" s="271" t="inlineStr">
        <is>
          <t>P3</t>
        </is>
      </c>
      <c r="B27" s="272" t="inlineStr">
        <is>
          <t>PILLAR 3 · INFRASTRUCTURE + STATUTORY</t>
        </is>
      </c>
      <c r="C27" s="184" t="n"/>
      <c r="D27" s="184" t="n"/>
      <c r="E27" s="184" t="n"/>
      <c r="F27" s="185" t="n"/>
      <c r="G27" s="273" t="n"/>
      <c r="H27" s="273" t="n"/>
      <c r="I27" s="274" t="inlineStr">
        <is>
          <t>Target: 8–15% Net GDV</t>
        </is>
      </c>
    </row>
    <row r="28" ht="16.5" customHeight="1" s="175">
      <c r="A28" s="275" t="inlineStr">
        <is>
          <t>3.1</t>
        </is>
      </c>
      <c r="B28" s="276" t="inlineStr">
        <is>
          <t xml:space="preserve">    Internal Roads</t>
        </is>
      </c>
      <c r="C28" s="277" t="n">
        <v>1400000</v>
      </c>
      <c r="D28" s="277" t="n">
        <v>0</v>
      </c>
      <c r="E28" s="277" t="n">
        <v>0</v>
      </c>
      <c r="F28" s="278">
        <f>C28-E28</f>
        <v/>
      </c>
      <c r="G28" s="279">
        <f>IFERROR(C28/P1_INPUT!B16,0)</f>
        <v/>
      </c>
      <c r="H28" s="279">
        <f>IFERROR(E28/P1_INPUT!B16,0)</f>
        <v/>
      </c>
      <c r="I28" s="280" t="inlineStr">
        <is>
          <t>Tarmac, curbs, markings</t>
        </is>
      </c>
    </row>
    <row r="29" ht="16.5" customHeight="1" s="175">
      <c r="A29" s="275" t="inlineStr">
        <is>
          <t>3.2</t>
        </is>
      </c>
      <c r="B29" s="276" t="inlineStr">
        <is>
          <t xml:space="preserve">    External Road (JKR)</t>
        </is>
      </c>
      <c r="C29" s="277" t="n">
        <v>700000</v>
      </c>
      <c r="D29" s="277" t="n">
        <v>0</v>
      </c>
      <c r="E29" s="277" t="n">
        <v>0</v>
      </c>
      <c r="F29" s="278">
        <f>C29-E29</f>
        <v/>
      </c>
      <c r="G29" s="279">
        <f>IFERROR(C29/P1_INPUT!B16,0)</f>
        <v/>
      </c>
      <c r="H29" s="279">
        <f>IFERROR(E29/P1_INPUT!B16,0)</f>
        <v/>
      </c>
      <c r="I29" s="280" t="inlineStr">
        <is>
          <t>Off-site widening per JKR</t>
        </is>
      </c>
    </row>
    <row r="30" ht="16.5" customHeight="1" s="175">
      <c r="A30" s="275" t="inlineStr">
        <is>
          <t>3.3</t>
        </is>
      </c>
      <c r="B30" s="276" t="inlineStr">
        <is>
          <t xml:space="preserve">    Drainage (JPS)</t>
        </is>
      </c>
      <c r="C30" s="277" t="n">
        <v>880000</v>
      </c>
      <c r="D30" s="277" t="n">
        <v>0</v>
      </c>
      <c r="E30" s="277" t="n">
        <v>0</v>
      </c>
      <c r="F30" s="278">
        <f>C30-E30</f>
        <v/>
      </c>
      <c r="G30" s="279">
        <f>IFERROR(C30/P1_INPUT!B16,0)</f>
        <v/>
      </c>
      <c r="H30" s="279">
        <f>IFERROR(E30/P1_INPUT!B16,0)</f>
        <v/>
      </c>
      <c r="I30" s="280" t="inlineStr">
        <is>
          <t>Internal + tie-in to JPS</t>
        </is>
      </c>
    </row>
    <row r="31" ht="16.5" customHeight="1" s="175">
      <c r="A31" s="275" t="inlineStr">
        <is>
          <t>3.4</t>
        </is>
      </c>
      <c r="B31" s="276" t="inlineStr">
        <is>
          <t xml:space="preserve">    TNB Substation</t>
        </is>
      </c>
      <c r="C31" s="277" t="n">
        <v>600000</v>
      </c>
      <c r="D31" s="277" t="n">
        <v>0</v>
      </c>
      <c r="E31" s="277" t="n">
        <v>0</v>
      </c>
      <c r="F31" s="278">
        <f>C31-E31</f>
        <v/>
      </c>
      <c r="G31" s="279">
        <f>IFERROR(C31/P1_INPUT!B16,0)</f>
        <v/>
      </c>
      <c r="H31" s="279">
        <f>IFERROR(E31/P1_INPUT!B16,0)</f>
        <v/>
      </c>
      <c r="I31" s="280" t="inlineStr">
        <is>
          <t>Substation contribution + cabling</t>
        </is>
      </c>
    </row>
    <row r="32" ht="16.5" customHeight="1" s="175">
      <c r="A32" s="275" t="inlineStr">
        <is>
          <t>3.5</t>
        </is>
      </c>
      <c r="B32" s="276" t="inlineStr">
        <is>
          <t xml:space="preserve">    Water Supply</t>
        </is>
      </c>
      <c r="C32" s="277" t="n">
        <v>360000</v>
      </c>
      <c r="D32" s="277" t="n">
        <v>0</v>
      </c>
      <c r="E32" s="277" t="n">
        <v>0</v>
      </c>
      <c r="F32" s="278">
        <f>C32-E32</f>
        <v/>
      </c>
      <c r="G32" s="279">
        <f>IFERROR(C32/P1_INPUT!B16,0)</f>
        <v/>
      </c>
      <c r="H32" s="279">
        <f>IFERROR(E32/P1_INPUT!B16,0)</f>
        <v/>
      </c>
      <c r="I32" s="280" t="inlineStr">
        <is>
          <t>Pipe + reservoir contribution</t>
        </is>
      </c>
    </row>
    <row r="33" ht="16.5" customHeight="1" s="175">
      <c r="A33" s="275" t="inlineStr">
        <is>
          <t>3.6</t>
        </is>
      </c>
      <c r="B33" s="276" t="inlineStr">
        <is>
          <t xml:space="preserve">    Sewerage (IWK)</t>
        </is>
      </c>
      <c r="C33" s="277" t="n">
        <v>280000</v>
      </c>
      <c r="D33" s="277" t="n">
        <v>0</v>
      </c>
      <c r="E33" s="277" t="n">
        <v>0</v>
      </c>
      <c r="F33" s="278">
        <f>C33-E33</f>
        <v/>
      </c>
      <c r="G33" s="279">
        <f>IFERROR(C33/P1_INPUT!B16,0)</f>
        <v/>
      </c>
      <c r="H33" s="279">
        <f>IFERROR(E33/P1_INPUT!B16,0)</f>
        <v/>
      </c>
      <c r="I33" s="280" t="inlineStr">
        <is>
          <t>IWK connection / on-site STP</t>
        </is>
      </c>
    </row>
    <row r="34" ht="16.5" customHeight="1" s="175">
      <c r="A34" s="275" t="inlineStr">
        <is>
          <t>3.7</t>
        </is>
      </c>
      <c r="B34" s="276" t="inlineStr">
        <is>
          <t xml:space="preserve">    Open Space + Amenities</t>
        </is>
      </c>
      <c r="C34" s="277" t="n">
        <v>480000</v>
      </c>
      <c r="D34" s="277" t="n">
        <v>0</v>
      </c>
      <c r="E34" s="277" t="n">
        <v>0</v>
      </c>
      <c r="F34" s="278">
        <f>C34-E34</f>
        <v/>
      </c>
      <c r="G34" s="279">
        <f>IFERROR(C34/P1_INPUT!B16,0)</f>
        <v/>
      </c>
      <c r="H34" s="279">
        <f>IFERROR(E34/P1_INPUT!B16,0)</f>
        <v/>
      </c>
      <c r="I34" s="280" t="inlineStr">
        <is>
          <t>10% site area; bus stop, surau</t>
        </is>
      </c>
    </row>
    <row r="35" ht="16.5" customHeight="1" s="175">
      <c r="A35" s="275" t="inlineStr">
        <is>
          <t>3.8</t>
        </is>
      </c>
      <c r="B35" s="276" t="inlineStr">
        <is>
          <t xml:space="preserve">    Development Contribution</t>
        </is>
      </c>
      <c r="C35" s="277" t="n">
        <v>1000000</v>
      </c>
      <c r="D35" s="277" t="n">
        <v>0</v>
      </c>
      <c r="E35" s="277" t="n">
        <v>0</v>
      </c>
      <c r="F35" s="278">
        <f>C35-E35</f>
        <v/>
      </c>
      <c r="G35" s="279">
        <f>IFERROR(C35/P1_INPUT!B16,0)</f>
        <v/>
      </c>
      <c r="H35" s="279">
        <f>IFERROR(E35/P1_INPUT!B16,0)</f>
        <v/>
      </c>
      <c r="I35" s="280" t="inlineStr">
        <is>
          <t>Cash to local authority (DA cond)</t>
        </is>
      </c>
    </row>
    <row r="36" ht="16.5" customHeight="1" s="175">
      <c r="A36" s="275" t="inlineStr">
        <is>
          <t>3.9</t>
        </is>
      </c>
      <c r="B36" s="276" t="inlineStr">
        <is>
          <t xml:space="preserve">    Contingency (5%)</t>
        </is>
      </c>
      <c r="C36" s="278">
        <f>SUM(C28:C35)*0.05</f>
        <v/>
      </c>
      <c r="D36" s="277" t="n">
        <v>0</v>
      </c>
      <c r="E36" s="277" t="n">
        <v>0</v>
      </c>
      <c r="F36" s="278">
        <f>C36-E36</f>
        <v/>
      </c>
      <c r="G36" s="279">
        <f>IFERROR(C36/P1_INPUT!B16,0)</f>
        <v/>
      </c>
      <c r="H36" s="279">
        <f>IFERROR(E36/P1_INPUT!B16,0)</f>
        <v/>
      </c>
      <c r="I36" s="280" t="n"/>
    </row>
    <row r="37" ht="19.5" customHeight="1" s="175">
      <c r="A37" s="273" t="n"/>
      <c r="B37" s="272" t="inlineStr">
        <is>
          <t>PILLAR 3 TOTAL</t>
        </is>
      </c>
      <c r="C37" s="281">
        <f>SUM(C28:C36)</f>
        <v/>
      </c>
      <c r="D37" s="281">
        <f>SUM(D28:D36)</f>
        <v/>
      </c>
      <c r="E37" s="281">
        <f>SUM(E28:E36)</f>
        <v/>
      </c>
      <c r="F37" s="281">
        <f>C37-E37</f>
        <v/>
      </c>
      <c r="G37" s="282">
        <f>IFERROR(C37/P1_INPUT!B16,0)</f>
        <v/>
      </c>
      <c r="H37" s="282">
        <f>IFERROR(E37/P1_INPUT!B16,0)</f>
        <v/>
      </c>
      <c r="I37" s="283">
        <f>IFERROR(C37/P1_INPUT!B34,0)</f>
        <v/>
      </c>
    </row>
    <row r="38" ht="6" customHeight="1" s="175">
      <c r="A38" s="258" t="n"/>
      <c r="B38" s="184" t="n"/>
      <c r="C38" s="184" t="n"/>
      <c r="D38" s="184" t="n"/>
      <c r="E38" s="184" t="n"/>
      <c r="F38" s="184" t="n"/>
      <c r="G38" s="184" t="n"/>
      <c r="H38" s="184" t="n"/>
      <c r="I38" s="184" t="n"/>
    </row>
    <row r="39" ht="19.5" customHeight="1" s="175">
      <c r="A39" s="284" t="inlineStr">
        <is>
          <t>P4</t>
        </is>
      </c>
      <c r="B39" s="285" t="inlineStr">
        <is>
          <t>PILLAR 4 · PROFESSIONAL FEES</t>
        </is>
      </c>
      <c r="C39" s="184" t="n"/>
      <c r="D39" s="184" t="n"/>
      <c r="E39" s="184" t="n"/>
      <c r="F39" s="185" t="n"/>
      <c r="G39" s="286" t="n"/>
      <c r="H39" s="286" t="n"/>
      <c r="I39" s="287" t="inlineStr">
        <is>
          <t>Target: 3–5% Net GDV</t>
        </is>
      </c>
    </row>
    <row r="40" ht="16.5" customHeight="1" s="175">
      <c r="A40" s="288" t="inlineStr">
        <is>
          <t>4.1</t>
        </is>
      </c>
      <c r="B40" s="289" t="inlineStr">
        <is>
          <t xml:space="preserve">    Architect</t>
        </is>
      </c>
      <c r="C40" s="290">
        <f>C25*0.04</f>
        <v/>
      </c>
      <c r="D40" s="291" t="n">
        <v>0</v>
      </c>
      <c r="E40" s="291" t="n">
        <v>0</v>
      </c>
      <c r="F40" s="290">
        <f>C40-E40</f>
        <v/>
      </c>
      <c r="G40" s="292">
        <f>IFERROR(C40/P1_INPUT!B16,0)</f>
        <v/>
      </c>
      <c r="H40" s="292">
        <f>IFERROR(E40/P1_INPUT!B16,0)</f>
        <v/>
      </c>
      <c r="I40" s="293" t="inlineStr">
        <is>
          <t>~4% of construction cost</t>
        </is>
      </c>
    </row>
    <row r="41" ht="16.5" customHeight="1" s="175">
      <c r="A41" s="288" t="inlineStr">
        <is>
          <t>4.2</t>
        </is>
      </c>
      <c r="B41" s="289" t="inlineStr">
        <is>
          <t xml:space="preserve">    Structural Engineer</t>
        </is>
      </c>
      <c r="C41" s="290">
        <f>C17*0.015</f>
        <v/>
      </c>
      <c r="D41" s="291" t="n">
        <v>0</v>
      </c>
      <c r="E41" s="291" t="n">
        <v>0</v>
      </c>
      <c r="F41" s="290">
        <f>C41-E41</f>
        <v/>
      </c>
      <c r="G41" s="292">
        <f>IFERROR(C41/P1_INPUT!B16,0)</f>
        <v/>
      </c>
      <c r="H41" s="292">
        <f>IFERROR(E41/P1_INPUT!B16,0)</f>
        <v/>
      </c>
      <c r="I41" s="293" t="inlineStr">
        <is>
          <t>~1.5% of C&amp;S</t>
        </is>
      </c>
    </row>
    <row r="42" ht="16.5" customHeight="1" s="175">
      <c r="A42" s="288" t="inlineStr">
        <is>
          <t>4.3</t>
        </is>
      </c>
      <c r="B42" s="289" t="inlineStr">
        <is>
          <t xml:space="preserve">    M&amp;E Engineer</t>
        </is>
      </c>
      <c r="C42" s="290">
        <f>(C19+C20)*0.015</f>
        <v/>
      </c>
      <c r="D42" s="291" t="n">
        <v>0</v>
      </c>
      <c r="E42" s="291" t="n">
        <v>0</v>
      </c>
      <c r="F42" s="290">
        <f>C42-E42</f>
        <v/>
      </c>
      <c r="G42" s="292">
        <f>IFERROR(C42/P1_INPUT!B16,0)</f>
        <v/>
      </c>
      <c r="H42" s="292">
        <f>IFERROR(E42/P1_INPUT!B16,0)</f>
        <v/>
      </c>
      <c r="I42" s="293" t="inlineStr">
        <is>
          <t>~1.5% of M&amp;E</t>
        </is>
      </c>
    </row>
    <row r="43" ht="16.5" customHeight="1" s="175">
      <c r="A43" s="288" t="inlineStr">
        <is>
          <t>4.4</t>
        </is>
      </c>
      <c r="B43" s="289" t="inlineStr">
        <is>
          <t xml:space="preserve">    QS</t>
        </is>
      </c>
      <c r="C43" s="290">
        <f>C25*0.01</f>
        <v/>
      </c>
      <c r="D43" s="291" t="n">
        <v>0</v>
      </c>
      <c r="E43" s="291" t="n">
        <v>0</v>
      </c>
      <c r="F43" s="290">
        <f>C43-E43</f>
        <v/>
      </c>
      <c r="G43" s="292">
        <f>IFERROR(C43/P1_INPUT!B16,0)</f>
        <v/>
      </c>
      <c r="H43" s="292">
        <f>IFERROR(E43/P1_INPUT!B16,0)</f>
        <v/>
      </c>
      <c r="I43" s="293" t="inlineStr">
        <is>
          <t>~1% of construction</t>
        </is>
      </c>
    </row>
    <row r="44" ht="16.5" customHeight="1" s="175">
      <c r="A44" s="288" t="inlineStr">
        <is>
          <t>4.5</t>
        </is>
      </c>
      <c r="B44" s="289" t="inlineStr">
        <is>
          <t xml:space="preserve">    Land Surveyor</t>
        </is>
      </c>
      <c r="C44" s="291" t="n">
        <v>30000</v>
      </c>
      <c r="D44" s="291" t="n">
        <v>0</v>
      </c>
      <c r="E44" s="291" t="n">
        <v>0</v>
      </c>
      <c r="F44" s="290">
        <f>C44-E44</f>
        <v/>
      </c>
      <c r="G44" s="292">
        <f>IFERROR(C44/P1_INPUT!B16,0)</f>
        <v/>
      </c>
      <c r="H44" s="292">
        <f>IFERROR(E44/P1_INPUT!B16,0)</f>
        <v/>
      </c>
      <c r="I44" s="293" t="inlineStr">
        <is>
          <t>Boundary + strata survey</t>
        </is>
      </c>
    </row>
    <row r="45" ht="16.5" customHeight="1" s="175">
      <c r="A45" s="288" t="inlineStr">
        <is>
          <t>4.6</t>
        </is>
      </c>
      <c r="B45" s="289" t="inlineStr">
        <is>
          <t xml:space="preserve">    Town Planner</t>
        </is>
      </c>
      <c r="C45" s="291" t="n">
        <v>60000</v>
      </c>
      <c r="D45" s="291" t="n">
        <v>0</v>
      </c>
      <c r="E45" s="291" t="n">
        <v>0</v>
      </c>
      <c r="F45" s="290">
        <f>C45-E45</f>
        <v/>
      </c>
      <c r="G45" s="292">
        <f>IFERROR(C45/P1_INPUT!B16,0)</f>
        <v/>
      </c>
      <c r="H45" s="292">
        <f>IFERROR(E45/P1_INPUT!B16,0)</f>
        <v/>
      </c>
      <c r="I45" s="293" t="inlineStr">
        <is>
          <t>DA/OSC liaison</t>
        </is>
      </c>
    </row>
    <row r="46" ht="16.5" customHeight="1" s="175">
      <c r="A46" s="288" t="inlineStr">
        <is>
          <t>4.7</t>
        </is>
      </c>
      <c r="B46" s="289" t="inlineStr">
        <is>
          <t xml:space="preserve">    Geotech / SI</t>
        </is>
      </c>
      <c r="C46" s="291" t="n">
        <v>80000</v>
      </c>
      <c r="D46" s="291" t="n">
        <v>0</v>
      </c>
      <c r="E46" s="291" t="n">
        <v>0</v>
      </c>
      <c r="F46" s="290">
        <f>C46-E46</f>
        <v/>
      </c>
      <c r="G46" s="292">
        <f>IFERROR(C46/P1_INPUT!B16,0)</f>
        <v/>
      </c>
      <c r="H46" s="292">
        <f>IFERROR(E46/P1_INPUT!B16,0)</f>
        <v/>
      </c>
      <c r="I46" s="293" t="inlineStr">
        <is>
          <t>Soil investigation</t>
        </is>
      </c>
    </row>
    <row r="47" ht="16.5" customHeight="1" s="175">
      <c r="A47" s="288" t="inlineStr">
        <is>
          <t>4.8</t>
        </is>
      </c>
      <c r="B47" s="289" t="inlineStr">
        <is>
          <t xml:space="preserve">    Legal (SPA/APDL/Title)</t>
        </is>
      </c>
      <c r="C47" s="291" t="n">
        <v>160000</v>
      </c>
      <c r="D47" s="291" t="n">
        <v>0</v>
      </c>
      <c r="E47" s="291" t="n">
        <v>0</v>
      </c>
      <c r="F47" s="290">
        <f>C47-E47</f>
        <v/>
      </c>
      <c r="G47" s="292">
        <f>IFERROR(C47/P1_INPUT!B16,0)</f>
        <v/>
      </c>
      <c r="H47" s="292">
        <f>IFERROR(E47/P1_INPUT!B16,0)</f>
        <v/>
      </c>
      <c r="I47" s="293" t="inlineStr">
        <is>
          <t>All project legal work</t>
        </is>
      </c>
    </row>
    <row r="48" ht="19.5" customHeight="1" s="175">
      <c r="A48" s="286" t="n"/>
      <c r="B48" s="285" t="inlineStr">
        <is>
          <t>PILLAR 4 TOTAL</t>
        </is>
      </c>
      <c r="C48" s="294">
        <f>SUM(C40:C47)</f>
        <v/>
      </c>
      <c r="D48" s="294">
        <f>SUM(D40:D47)</f>
        <v/>
      </c>
      <c r="E48" s="294">
        <f>SUM(E40:E47)</f>
        <v/>
      </c>
      <c r="F48" s="294">
        <f>C48-E48</f>
        <v/>
      </c>
      <c r="G48" s="295">
        <f>IFERROR(C48/P1_INPUT!B16,0)</f>
        <v/>
      </c>
      <c r="H48" s="295">
        <f>IFERROR(E48/P1_INPUT!B16,0)</f>
        <v/>
      </c>
      <c r="I48" s="296">
        <f>IFERROR(C48/P1_INPUT!B34,0)</f>
        <v/>
      </c>
    </row>
    <row r="49" ht="6" customHeight="1" s="175">
      <c r="A49" s="258" t="n"/>
      <c r="B49" s="184" t="n"/>
      <c r="C49" s="184" t="n"/>
      <c r="D49" s="184" t="n"/>
      <c r="E49" s="184" t="n"/>
      <c r="F49" s="184" t="n"/>
      <c r="G49" s="184" t="n"/>
      <c r="H49" s="184" t="n"/>
      <c r="I49" s="184" t="n"/>
    </row>
    <row r="50" ht="19.5" customHeight="1" s="175">
      <c r="A50" s="297" t="inlineStr">
        <is>
          <t>P5</t>
        </is>
      </c>
      <c r="B50" s="238" t="inlineStr">
        <is>
          <t>PILLAR 5 · FINANCE + MARKETING</t>
        </is>
      </c>
      <c r="C50" s="184" t="n"/>
      <c r="D50" s="184" t="n"/>
      <c r="E50" s="184" t="n"/>
      <c r="F50" s="185" t="n"/>
      <c r="G50" s="298" t="n"/>
      <c r="H50" s="298" t="n"/>
      <c r="I50" s="299" t="inlineStr">
        <is>
          <t>Target: 6–10% Net GDV</t>
        </is>
      </c>
    </row>
    <row r="51" ht="16.5" customHeight="1" s="175">
      <c r="A51" s="300" t="inlineStr">
        <is>
          <t>5.1</t>
        </is>
      </c>
      <c r="B51" s="301" t="inlineStr">
        <is>
          <t xml:space="preserve">    Bridging Loan Interest (IDC)</t>
        </is>
      </c>
      <c r="C51" s="302" t="n">
        <v>3800000</v>
      </c>
      <c r="D51" s="302" t="n">
        <v>0</v>
      </c>
      <c r="E51" s="302" t="n">
        <v>0</v>
      </c>
      <c r="F51" s="243">
        <f>C51-E51</f>
        <v/>
      </c>
      <c r="G51" s="303">
        <f>IFERROR(C51/P1_INPUT!B16,0)</f>
        <v/>
      </c>
      <c r="H51" s="303">
        <f>IFERROR(E51/P1_INPUT!B16,0)</f>
        <v/>
      </c>
      <c r="I51" s="242" t="inlineStr">
        <is>
          <t>Avg drawdown × rate × period</t>
        </is>
      </c>
    </row>
    <row r="52" ht="16.5" customHeight="1" s="175">
      <c r="A52" s="300" t="inlineStr">
        <is>
          <t>5.2</t>
        </is>
      </c>
      <c r="B52" s="301" t="inlineStr">
        <is>
          <t xml:space="preserve">    Loan Arrangement + Legal</t>
        </is>
      </c>
      <c r="C52" s="243">
        <f>C25*0.008</f>
        <v/>
      </c>
      <c r="D52" s="302" t="n">
        <v>0</v>
      </c>
      <c r="E52" s="302" t="n">
        <v>0</v>
      </c>
      <c r="F52" s="243">
        <f>C52-E52</f>
        <v/>
      </c>
      <c r="G52" s="303">
        <f>IFERROR(C52/P1_INPUT!B16,0)</f>
        <v/>
      </c>
      <c r="H52" s="303">
        <f>IFERROR(E52/P1_INPUT!B16,0)</f>
        <v/>
      </c>
      <c r="I52" s="242" t="inlineStr">
        <is>
          <t>~0.8% of loan facility</t>
        </is>
      </c>
    </row>
    <row r="53" ht="16.5" customHeight="1" s="175">
      <c r="A53" s="300" t="inlineStr">
        <is>
          <t>5.3</t>
        </is>
      </c>
      <c r="B53" s="301" t="inlineStr">
        <is>
          <t xml:space="preserve">    Sales Gallery + Show Units</t>
        </is>
      </c>
      <c r="C53" s="302" t="n">
        <v>700000</v>
      </c>
      <c r="D53" s="302" t="n">
        <v>0</v>
      </c>
      <c r="E53" s="302" t="n">
        <v>0</v>
      </c>
      <c r="F53" s="243">
        <f>C53-E53</f>
        <v/>
      </c>
      <c r="G53" s="303">
        <f>IFERROR(C53/P1_INPUT!B16,0)</f>
        <v/>
      </c>
      <c r="H53" s="303">
        <f>IFERROR(E53/P1_INPUT!B16,0)</f>
        <v/>
      </c>
      <c r="I53" s="242" t="inlineStr">
        <is>
          <t>Build, fitout, furnish</t>
        </is>
      </c>
    </row>
    <row r="54" ht="16.5" customHeight="1" s="175">
      <c r="A54" s="300" t="inlineStr">
        <is>
          <t>5.4</t>
        </is>
      </c>
      <c r="B54" s="301" t="inlineStr">
        <is>
          <t xml:space="preserve">    Digital &amp; Print Marketing</t>
        </is>
      </c>
      <c r="C54" s="302" t="n">
        <v>320000</v>
      </c>
      <c r="D54" s="302" t="n">
        <v>0</v>
      </c>
      <c r="E54" s="302" t="n">
        <v>0</v>
      </c>
      <c r="F54" s="243">
        <f>C54-E54</f>
        <v/>
      </c>
      <c r="G54" s="303">
        <f>IFERROR(C54/P1_INPUT!B16,0)</f>
        <v/>
      </c>
      <c r="H54" s="303">
        <f>IFERROR(E54/P1_INPUT!B16,0)</f>
        <v/>
      </c>
      <c r="I54" s="242" t="inlineStr">
        <is>
          <t>Website, launches, print</t>
        </is>
      </c>
    </row>
    <row r="55" ht="16.5" customHeight="1" s="175">
      <c r="A55" s="300" t="inlineStr">
        <is>
          <t>5.5</t>
        </is>
      </c>
      <c r="B55" s="301" t="inlineStr">
        <is>
          <t xml:space="preserve">    Agent Commission</t>
        </is>
      </c>
      <c r="C55" s="304">
        <f>P1_INPUT!B34*0.025</f>
        <v/>
      </c>
      <c r="D55" s="302" t="n">
        <v>0</v>
      </c>
      <c r="E55" s="302" t="n">
        <v>0</v>
      </c>
      <c r="F55" s="243">
        <f>C55-E55</f>
        <v/>
      </c>
      <c r="G55" s="303">
        <f>IFERROR(C55/P1_INPUT!B16,0)</f>
        <v/>
      </c>
      <c r="H55" s="303">
        <f>IFERROR(E55/P1_INPUT!B16,0)</f>
        <v/>
      </c>
      <c r="I55" s="242" t="inlineStr">
        <is>
          <t>~2.5% Net GDV</t>
        </is>
      </c>
    </row>
    <row r="56" ht="16.5" customHeight="1" s="175">
      <c r="A56" s="300" t="inlineStr">
        <is>
          <t>5.6</t>
        </is>
      </c>
      <c r="B56" s="301" t="inlineStr">
        <is>
          <t xml:space="preserve">    APDL + Developer Licence</t>
        </is>
      </c>
      <c r="C56" s="302" t="n">
        <v>25000</v>
      </c>
      <c r="D56" s="302" t="n">
        <v>0</v>
      </c>
      <c r="E56" s="302" t="n">
        <v>0</v>
      </c>
      <c r="F56" s="243">
        <f>C56-E56</f>
        <v/>
      </c>
      <c r="G56" s="303">
        <f>IFERROR(C56/P1_INPUT!B16,0)</f>
        <v/>
      </c>
      <c r="H56" s="303">
        <f>IFERROR(E56/P1_INPUT!B16,0)</f>
        <v/>
      </c>
      <c r="I56" s="242" t="inlineStr">
        <is>
          <t>HDA fees</t>
        </is>
      </c>
    </row>
    <row r="57" ht="16.5" customHeight="1" s="175">
      <c r="A57" s="300" t="inlineStr">
        <is>
          <t>5.7</t>
        </is>
      </c>
      <c r="B57" s="301" t="inlineStr">
        <is>
          <t xml:space="preserve">    Internal PM Allocation</t>
        </is>
      </c>
      <c r="C57" s="302" t="n">
        <v>480000</v>
      </c>
      <c r="D57" s="302" t="n">
        <v>0</v>
      </c>
      <c r="E57" s="302" t="n">
        <v>0</v>
      </c>
      <c r="F57" s="243">
        <f>C57-E57</f>
        <v/>
      </c>
      <c r="G57" s="303">
        <f>IFERROR(C57/P1_INPUT!B16,0)</f>
        <v/>
      </c>
      <c r="H57" s="303">
        <f>IFERROR(E57/P1_INPUT!B16,0)</f>
        <v/>
      </c>
      <c r="I57" s="242" t="inlineStr">
        <is>
          <t>Team salary to project</t>
        </is>
      </c>
    </row>
    <row r="58" ht="16.5" customHeight="1" s="175">
      <c r="A58" s="300" t="inlineStr">
        <is>
          <t>5.8</t>
        </is>
      </c>
      <c r="B58" s="301" t="inlineStr">
        <is>
          <t xml:space="preserve">    Insurance (CAR/PI/PL)</t>
        </is>
      </c>
      <c r="C58" s="243">
        <f>C25*0.006</f>
        <v/>
      </c>
      <c r="D58" s="302" t="n">
        <v>0</v>
      </c>
      <c r="E58" s="302" t="n">
        <v>0</v>
      </c>
      <c r="F58" s="243">
        <f>C58-E58</f>
        <v/>
      </c>
      <c r="G58" s="303">
        <f>IFERROR(C58/P1_INPUT!B16,0)</f>
        <v/>
      </c>
      <c r="H58" s="303">
        <f>IFERROR(E58/P1_INPUT!B16,0)</f>
        <v/>
      </c>
      <c r="I58" s="242" t="inlineStr">
        <is>
          <t>~0.6% of construction</t>
        </is>
      </c>
    </row>
    <row r="59" ht="19.5" customHeight="1" s="175">
      <c r="A59" s="298" t="n"/>
      <c r="B59" s="238" t="inlineStr">
        <is>
          <t>PILLAR 5 TOTAL</t>
        </is>
      </c>
      <c r="C59" s="305">
        <f>SUM(C51:C58)</f>
        <v/>
      </c>
      <c r="D59" s="305">
        <f>SUM(D51:D58)</f>
        <v/>
      </c>
      <c r="E59" s="305">
        <f>SUM(E51:E58)</f>
        <v/>
      </c>
      <c r="F59" s="305">
        <f>C59-E59</f>
        <v/>
      </c>
      <c r="G59" s="306">
        <f>IFERROR(C59/P1_INPUT!B16,0)</f>
        <v/>
      </c>
      <c r="H59" s="306">
        <f>IFERROR(E59/P1_INPUT!B16,0)</f>
        <v/>
      </c>
      <c r="I59" s="307">
        <f>IFERROR(C59/P1_INPUT!B34,0)</f>
        <v/>
      </c>
    </row>
    <row r="60" ht="6" customHeight="1" s="175">
      <c r="A60" s="258" t="n"/>
      <c r="B60" s="184" t="n"/>
      <c r="C60" s="184" t="n"/>
      <c r="D60" s="184" t="n"/>
      <c r="E60" s="184" t="n"/>
      <c r="F60" s="184" t="n"/>
      <c r="G60" s="184" t="n"/>
      <c r="H60" s="184" t="n"/>
      <c r="I60" s="184" t="n"/>
    </row>
    <row r="61" ht="25.5" customHeight="1" s="175">
      <c r="A61" s="308" t="inlineStr">
        <is>
          <t>GDC</t>
        </is>
      </c>
      <c r="B61" s="309" t="inlineStr">
        <is>
          <t>GROSS DEVELOPMENT COST</t>
        </is>
      </c>
      <c r="C61" s="217">
        <f>C12+C25+C37+C48+C59</f>
        <v/>
      </c>
      <c r="D61" s="217">
        <f>D12+D25+D37+D48+D59</f>
        <v/>
      </c>
      <c r="E61" s="217">
        <f>E12+E25+E37+E48+E59</f>
        <v/>
      </c>
      <c r="F61" s="217">
        <f>C61-E61</f>
        <v/>
      </c>
      <c r="G61" s="310">
        <f>IFERROR(C61/P1_INPUT!B16,0)</f>
        <v/>
      </c>
      <c r="H61" s="310">
        <f>IFERROR(E61/P1_INPUT!B16,0)</f>
        <v/>
      </c>
      <c r="I61" s="311">
        <f>IFERROR(C61/P1_INPUT!B34,0)</f>
        <v/>
      </c>
    </row>
    <row r="62" ht="6" customHeight="1" s="175">
      <c r="A62" s="192" t="n"/>
    </row>
    <row r="63" ht="25.5" customHeight="1" s="175">
      <c r="A63" s="312" t="inlineStr">
        <is>
          <t>PBT</t>
        </is>
      </c>
      <c r="B63" s="313" t="inlineStr">
        <is>
          <t>PROFIT BEFORE TAX  (Net GDV − GDC)</t>
        </is>
      </c>
      <c r="C63" s="314">
        <f>P1_INPUT!B34-C61</f>
        <v/>
      </c>
      <c r="D63" s="249" t="n"/>
      <c r="E63" s="249" t="n"/>
      <c r="F63" s="249" t="n"/>
      <c r="G63" s="315">
        <f>IFERROR(C63/P1_INPUT!B16,0)</f>
        <v/>
      </c>
      <c r="H63" s="249" t="n"/>
      <c r="I63" s="257">
        <f>IFERROR(C63/P1_INPUT!B34,0)</f>
        <v/>
      </c>
    </row>
  </sheetData>
  <mergeCells count="13">
    <mergeCell ref="B39:F39"/>
    <mergeCell ref="A2:I2"/>
    <mergeCell ref="A49:I49"/>
    <mergeCell ref="A60:I60"/>
    <mergeCell ref="A38:I38"/>
    <mergeCell ref="A13:I13"/>
    <mergeCell ref="B5:F5"/>
    <mergeCell ref="A1:I1"/>
    <mergeCell ref="B14:F14"/>
    <mergeCell ref="B50:F50"/>
    <mergeCell ref="A62:I62"/>
    <mergeCell ref="A26:I26"/>
    <mergeCell ref="B27:F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34" customWidth="1" style="175" min="1" max="1"/>
    <col width="18" customWidth="1" style="175" min="2" max="2"/>
    <col width="15" customWidth="1" style="175" min="3" max="3"/>
    <col width="15" customWidth="1" style="175" min="4" max="4"/>
    <col width="15" customWidth="1" style="175" min="5" max="5"/>
    <col width="15" customWidth="1" style="175" min="6" max="6"/>
    <col width="15" customWidth="1" style="175" min="7" max="7"/>
    <col width="40" customWidth="1" style="175" min="8" max="8"/>
  </cols>
  <sheetData>
    <row r="1">
      <c r="A1" s="316" t="inlineStr">
        <is>
          <t>PHASE 1 — DEVELOPMENT CASH FLOW &amp; IRR</t>
        </is>
      </c>
    </row>
    <row r="2">
      <c r="A2" s="317" t="inlineStr">
        <is>
          <t>Yearly model · Blue = input · Black = calc · Green = link to P1_INPUT / P1_COSTING</t>
        </is>
      </c>
    </row>
    <row r="4">
      <c r="A4" s="318" t="inlineStr">
        <is>
          <t>ASSUMPTIONS &amp; CURVES</t>
        </is>
      </c>
      <c r="B4" s="319" t="n"/>
      <c r="C4" s="319" t="n"/>
      <c r="D4" s="319" t="n"/>
      <c r="E4" s="319" t="n"/>
      <c r="F4" s="319" t="n"/>
      <c r="G4" s="319" t="n"/>
      <c r="H4" s="319" t="n"/>
    </row>
    <row r="5">
      <c r="A5" s="320" t="inlineStr"/>
      <c r="B5" s="321" t="inlineStr">
        <is>
          <t>Σ / Param</t>
        </is>
      </c>
      <c r="C5" s="321" t="inlineStr">
        <is>
          <t>Y0</t>
        </is>
      </c>
      <c r="D5" s="321" t="inlineStr">
        <is>
          <t>Y1</t>
        </is>
      </c>
      <c r="E5" s="321" t="inlineStr">
        <is>
          <t>Y2</t>
        </is>
      </c>
      <c r="F5" s="321" t="inlineStr">
        <is>
          <t>Y3</t>
        </is>
      </c>
      <c r="G5" s="321" t="inlineStr">
        <is>
          <t>Y4</t>
        </is>
      </c>
      <c r="H5" s="320" t="inlineStr">
        <is>
          <t>Notes</t>
        </is>
      </c>
    </row>
    <row r="6">
      <c r="A6" s="322" t="inlineStr">
        <is>
          <t>GDC spend curve (non-land)</t>
        </is>
      </c>
      <c r="B6" s="323">
        <f>SUM(C6:G6)</f>
        <v/>
      </c>
      <c r="C6" s="324" t="n">
        <v>0.1</v>
      </c>
      <c r="D6" s="324" t="n">
        <v>0.3</v>
      </c>
      <c r="E6" s="324" t="n">
        <v>0.35</v>
      </c>
      <c r="F6" s="324" t="n">
        <v>0.2</v>
      </c>
      <c r="G6" s="324" t="n">
        <v>0.05</v>
      </c>
      <c r="H6" s="325" t="inlineStr">
        <is>
          <t>Land booked Y0; rest follows construction S-curve</t>
        </is>
      </c>
    </row>
    <row r="7">
      <c r="A7" s="322" t="inlineStr">
        <is>
          <t>Revenue collection curve</t>
        </is>
      </c>
      <c r="B7" s="323">
        <f>SUM(C7:G7)</f>
        <v/>
      </c>
      <c r="C7" s="324" t="n">
        <v>0.03</v>
      </c>
      <c r="D7" s="324" t="n">
        <v>0.2</v>
      </c>
      <c r="E7" s="324" t="n">
        <v>0.35</v>
      </c>
      <c r="F7" s="324" t="n">
        <v>0.3</v>
      </c>
      <c r="G7" s="324" t="n">
        <v>0.12</v>
      </c>
      <c r="H7" s="325" t="inlineStr">
        <is>
          <t>Cash actually collected — drives inflow. Σ must = 100%</t>
        </is>
      </c>
    </row>
    <row r="8">
      <c r="A8" s="326" t="inlineStr">
        <is>
          <t xml:space="preserve">  ref: HDA Sch.H billing</t>
        </is>
      </c>
      <c r="B8" s="323">
        <f>SUM(C8:G8)</f>
        <v/>
      </c>
      <c r="C8" s="324" t="n">
        <v>0.1</v>
      </c>
      <c r="D8" s="324" t="n">
        <v>0.3</v>
      </c>
      <c r="E8" s="324" t="n">
        <v>0.35</v>
      </c>
      <c r="F8" s="324" t="n">
        <v>0.2</v>
      </c>
      <c r="G8" s="324" t="n">
        <v>0.05</v>
      </c>
      <c r="H8" s="325" t="inlineStr">
        <is>
          <t>Statutory billing milestones (reference only)</t>
        </is>
      </c>
    </row>
    <row r="9">
      <c r="A9" s="326" t="inlineStr">
        <is>
          <t xml:space="preserve">  ref: Sales take-up (RoS)</t>
        </is>
      </c>
      <c r="B9" s="323">
        <f>SUM(C9:G9)</f>
        <v/>
      </c>
      <c r="C9" s="324" t="n">
        <v>0.2</v>
      </c>
      <c r="D9" s="324" t="n">
        <v>0.35</v>
      </c>
      <c r="E9" s="324" t="n">
        <v>0.25</v>
      </c>
      <c r="F9" s="324" t="n">
        <v>0.15</v>
      </c>
      <c r="G9" s="324" t="n">
        <v>0.05</v>
      </c>
      <c r="H9" s="325" t="inlineStr">
        <is>
          <t>Units sold per year (reference only)</t>
        </is>
      </c>
    </row>
    <row r="10">
      <c r="A10" s="174" t="inlineStr">
        <is>
          <t>Discount rate (WACC)</t>
        </is>
      </c>
      <c r="B10" s="324" t="n">
        <v>0.1</v>
      </c>
      <c r="H10" s="325" t="inlineStr">
        <is>
          <t>For NPV. Adjust to project hurdle / cost of capital</t>
        </is>
      </c>
    </row>
    <row r="12">
      <c r="A12" s="318" t="inlineStr">
        <is>
          <t>CASH OUTFLOW (RM)</t>
        </is>
      </c>
      <c r="B12" s="319" t="n"/>
      <c r="C12" s="319" t="n"/>
      <c r="D12" s="319" t="n"/>
      <c r="E12" s="319" t="n"/>
      <c r="F12" s="319" t="n"/>
      <c r="G12" s="319" t="n"/>
      <c r="H12" s="319" t="n"/>
    </row>
    <row r="13">
      <c r="A13" s="327" t="inlineStr">
        <is>
          <t>Land Cost (P1)</t>
        </is>
      </c>
      <c r="B13" s="328">
        <f>'P1_COSTING'!C12</f>
        <v/>
      </c>
      <c r="C13" s="329">
        <f>B13</f>
        <v/>
      </c>
      <c r="D13" s="329" t="n">
        <v>0</v>
      </c>
      <c r="E13" s="329" t="n">
        <v>0</v>
      </c>
      <c r="F13" s="329" t="n">
        <v>0</v>
      </c>
      <c r="G13" s="329" t="n">
        <v>0</v>
      </c>
    </row>
    <row r="14">
      <c r="A14" s="327" t="inlineStr">
        <is>
          <t>Development Cost (P2–P5)</t>
        </is>
      </c>
      <c r="B14" s="328">
        <f>'P1_COSTING'!C61-'P1_COSTING'!C12</f>
        <v/>
      </c>
      <c r="C14" s="329">
        <f>$B14*C6</f>
        <v/>
      </c>
      <c r="D14" s="329">
        <f>$B14*D6</f>
        <v/>
      </c>
      <c r="E14" s="329">
        <f>$B14*E6</f>
        <v/>
      </c>
      <c r="F14" s="329">
        <f>$B14*F6</f>
        <v/>
      </c>
      <c r="G14" s="329">
        <f>$B14*G6</f>
        <v/>
      </c>
    </row>
    <row r="15">
      <c r="A15" s="320" t="inlineStr">
        <is>
          <t>TOTAL OUTFLOW</t>
        </is>
      </c>
      <c r="B15" s="330">
        <f>B13+B14</f>
        <v/>
      </c>
      <c r="C15" s="330">
        <f>C13+C14</f>
        <v/>
      </c>
      <c r="D15" s="330">
        <f>D13+D14</f>
        <v/>
      </c>
      <c r="E15" s="330">
        <f>E13+E14</f>
        <v/>
      </c>
      <c r="F15" s="330">
        <f>F13+F14</f>
        <v/>
      </c>
      <c r="G15" s="330">
        <f>G13+G14</f>
        <v/>
      </c>
    </row>
    <row r="17">
      <c r="A17" s="318" t="inlineStr">
        <is>
          <t>CASH INFLOW (RM)</t>
        </is>
      </c>
      <c r="B17" s="319" t="n"/>
      <c r="C17" s="319" t="n"/>
      <c r="D17" s="319" t="n"/>
      <c r="E17" s="319" t="n"/>
      <c r="F17" s="319" t="n"/>
      <c r="G17" s="319" t="n"/>
      <c r="H17" s="319" t="n"/>
    </row>
    <row r="18">
      <c r="A18" s="327" t="inlineStr">
        <is>
          <t>Net GDV (link)</t>
        </is>
      </c>
      <c r="B18" s="328">
        <f>'P1_INPUT'!B34</f>
        <v/>
      </c>
    </row>
    <row r="19">
      <c r="A19" s="331" t="inlineStr">
        <is>
          <t>Revenue Collected</t>
        </is>
      </c>
      <c r="B19" s="329">
        <f>SUM(C19:G19)</f>
        <v/>
      </c>
      <c r="C19" s="329">
        <f>$B$18*C7</f>
        <v/>
      </c>
      <c r="D19" s="329">
        <f>$B$18*D7</f>
        <v/>
      </c>
      <c r="E19" s="329">
        <f>$B$18*E7</f>
        <v/>
      </c>
      <c r="F19" s="329">
        <f>$B$18*F7</f>
        <v/>
      </c>
      <c r="G19" s="329">
        <f>$B$18*G7</f>
        <v/>
      </c>
    </row>
    <row r="20">
      <c r="A20" s="320" t="inlineStr">
        <is>
          <t>TOTAL INFLOW</t>
        </is>
      </c>
      <c r="B20" s="330">
        <f>B19</f>
        <v/>
      </c>
      <c r="C20" s="330">
        <f>C19</f>
        <v/>
      </c>
      <c r="D20" s="330">
        <f>D19</f>
        <v/>
      </c>
      <c r="E20" s="330">
        <f>E19</f>
        <v/>
      </c>
      <c r="F20" s="330">
        <f>F19</f>
        <v/>
      </c>
      <c r="G20" s="330">
        <f>G19</f>
        <v/>
      </c>
    </row>
    <row r="22">
      <c r="A22" s="318" t="inlineStr">
        <is>
          <t>NET CASH FLOW</t>
        </is>
      </c>
      <c r="B22" s="319" t="n"/>
      <c r="C22" s="319" t="n"/>
      <c r="D22" s="319" t="n"/>
      <c r="E22" s="319" t="n"/>
      <c r="F22" s="319" t="n"/>
      <c r="G22" s="319" t="n"/>
      <c r="H22" s="319" t="n"/>
    </row>
    <row r="23">
      <c r="A23" s="332" t="inlineStr">
        <is>
          <t>Net Cash Flow</t>
        </is>
      </c>
      <c r="B23" s="333">
        <f>B20-B15</f>
        <v/>
      </c>
      <c r="C23" s="333">
        <f>C20-C15</f>
        <v/>
      </c>
      <c r="D23" s="333">
        <f>D20-D15</f>
        <v/>
      </c>
      <c r="E23" s="333">
        <f>E20-E15</f>
        <v/>
      </c>
      <c r="F23" s="333">
        <f>F20-F15</f>
        <v/>
      </c>
      <c r="G23" s="333">
        <f>G20-G15</f>
        <v/>
      </c>
    </row>
    <row r="24">
      <c r="A24" s="174" t="inlineStr">
        <is>
          <t>Cumulative Cash Flow</t>
        </is>
      </c>
      <c r="C24" s="329">
        <f>C23</f>
        <v/>
      </c>
      <c r="D24" s="329">
        <f>C24+D23</f>
        <v/>
      </c>
      <c r="E24" s="329">
        <f>D24+E23</f>
        <v/>
      </c>
      <c r="F24" s="329">
        <f>E24+F23</f>
        <v/>
      </c>
      <c r="G24" s="329">
        <f>F24+G23</f>
        <v/>
      </c>
    </row>
    <row r="26">
      <c r="A26" s="318" t="inlineStr">
        <is>
          <t>RETURNS</t>
        </is>
      </c>
      <c r="B26" s="319" t="n"/>
      <c r="C26" s="319" t="n"/>
      <c r="D26" s="319" t="n"/>
      <c r="E26" s="319" t="n"/>
      <c r="F26" s="319" t="n"/>
      <c r="G26" s="319" t="n"/>
      <c r="H26" s="319" t="n"/>
    </row>
    <row r="27">
      <c r="A27" s="334" t="inlineStr">
        <is>
          <t>Project IRR (annual)</t>
        </is>
      </c>
      <c r="B27" s="335">
        <f>IRR(C23:G23)</f>
        <v/>
      </c>
      <c r="H27" s="325" t="inlineStr">
        <is>
          <t>Computes only if ≥1 negative year. HIGH here because land=4.9% of GDV + progress billing → tiny equity at risk. Read alongside Peak funding &amp; NPV.</t>
        </is>
      </c>
    </row>
    <row r="28">
      <c r="A28" s="334" t="inlineStr">
        <is>
          <t>NPV @ WACC</t>
        </is>
      </c>
      <c r="B28" s="336">
        <f>NPV(B10,D23:G23)+C23</f>
        <v/>
      </c>
      <c r="H28" s="325" t="inlineStr">
        <is>
          <t>&gt;0 = value-accretive</t>
        </is>
      </c>
    </row>
    <row r="29">
      <c r="A29" s="334" t="inlineStr">
        <is>
          <t>Years to turn cash-positive</t>
        </is>
      </c>
      <c r="B29" s="334">
        <f>COUNTIF(C24:G24,"&lt;0")</f>
        <v/>
      </c>
      <c r="H29" s="325" t="inlineStr">
        <is>
          <t>Approx payback in years</t>
        </is>
      </c>
    </row>
    <row r="30">
      <c r="A30" s="334" t="inlineStr">
        <is>
          <t>Peak funding need</t>
        </is>
      </c>
      <c r="B30" s="336">
        <f>MIN(C24:G24)</f>
        <v/>
      </c>
      <c r="H30" s="325" t="inlineStr">
        <is>
          <t>Most negative cumulative = max capital at risk</t>
        </is>
      </c>
    </row>
    <row r="31">
      <c r="A31" s="334" t="inlineStr">
        <is>
          <t>PBT (static)</t>
        </is>
      </c>
      <c r="B31" s="336">
        <f>'P1_INPUT'!B34-'P1_COSTING'!C61</f>
        <v/>
      </c>
      <c r="H31" s="325" t="inlineStr">
        <is>
          <t>Net GDV − GDC</t>
        </is>
      </c>
    </row>
    <row r="32">
      <c r="A32" s="334" t="inlineStr">
        <is>
          <t>Profit margin</t>
        </is>
      </c>
      <c r="B32" s="335">
        <f>B31/'P1_INPUT'!B34</f>
        <v/>
      </c>
      <c r="H32" s="325" t="inlineStr">
        <is>
          <t>PBT / Net GDV</t>
        </is>
      </c>
    </row>
    <row r="34">
      <c r="A34" s="337" t="inlineStr">
        <is>
          <t>⚠ CHECK: collection curve (row 7) Σ must = 100%; revenue B19 must ≈ Net GDV B18</t>
        </is>
      </c>
    </row>
    <row r="35">
      <c r="A35" s="317" t="inlineStr">
        <is>
          <t>NOTE: with so little land cost, the developer is nearly self-funding; project IRR overstates attractiveness — Peak funding need (B30) and NPV (B28) are the steadier signals.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74" min="1" max="1"/>
    <col width="18" customWidth="1" style="174" min="2" max="2"/>
    <col width="12" customWidth="1" style="174" min="3" max="3"/>
    <col width="32" customWidth="1" style="174" min="4" max="4"/>
  </cols>
  <sheetData>
    <row r="1" ht="25.5" customHeight="1" s="175">
      <c r="A1" s="338" t="inlineStr">
        <is>
          <t>Phase 2 — High-rise Resi (概念)  |  INPUT ASSUMPTIONS  |  状态：概念阶段 ◑</t>
        </is>
      </c>
    </row>
    <row r="2" ht="15" customHeight="1" s="175">
      <c r="A2" s="339" t="inlineStr">
        <is>
          <t>Blue = hardcoded input  |  Black = calculated  |  Gray = TBC / indicative only</t>
        </is>
      </c>
    </row>
    <row r="4" ht="19.5" customHeight="1" s="175">
      <c r="A4" s="183" t="inlineStr">
        <is>
          <t>A · PROJECT INFORMATION</t>
        </is>
      </c>
      <c r="B4" s="184" t="n"/>
      <c r="C4" s="184" t="n"/>
      <c r="D4" s="185" t="n"/>
    </row>
    <row r="5" ht="18" customHeight="1" s="175">
      <c r="A5" s="229" t="inlineStr">
        <is>
          <t>Phase Name</t>
        </is>
      </c>
      <c r="B5" s="230" t="inlineStr">
        <is>
          <t>Phase 2 — High-rise Resi (概念)</t>
        </is>
      </c>
      <c r="C5" s="231" t="n"/>
      <c r="D5" s="232" t="n"/>
    </row>
    <row r="6" ht="18" customHeight="1" s="175">
      <c r="A6" s="229" t="inlineStr">
        <is>
          <t>Product Type</t>
        </is>
      </c>
      <c r="B6" s="230" t="inlineStr">
        <is>
          <t>High-rise Residential (Phase 2)</t>
        </is>
      </c>
      <c r="C6" s="231" t="n"/>
      <c r="D6" s="232" t="n"/>
    </row>
    <row r="7" ht="18" customHeight="1" s="175">
      <c r="A7" s="229" t="inlineStr">
        <is>
          <t>Target Launch Date</t>
        </is>
      </c>
      <c r="B7" s="230" t="inlineStr">
        <is>
          <t>Q3 2026</t>
        </is>
      </c>
      <c r="C7" s="231" t="n"/>
      <c r="D7" s="232" t="n"/>
    </row>
    <row r="8" ht="18" customHeight="1" s="175">
      <c r="A8" s="229" t="inlineStr">
        <is>
          <t>Target VP Date</t>
        </is>
      </c>
      <c r="B8" s="230" t="inlineStr">
        <is>
          <t>Dec 2028</t>
        </is>
      </c>
      <c r="C8" s="231" t="n"/>
      <c r="D8" s="232" t="n"/>
    </row>
    <row r="9" ht="18" customHeight="1" s="175">
      <c r="A9" s="229" t="inlineStr">
        <is>
          <t>Construction Period</t>
        </is>
      </c>
      <c r="B9" s="230" t="n">
        <v>32</v>
      </c>
      <c r="C9" s="231" t="inlineStr">
        <is>
          <t>months</t>
        </is>
      </c>
      <c r="D9" s="232" t="n"/>
    </row>
    <row r="11" ht="19.5" customHeight="1" s="175">
      <c r="A11" s="226" t="inlineStr">
        <is>
          <t>B · AREA PARAMETERS</t>
        </is>
      </c>
      <c r="B11" s="184" t="n"/>
      <c r="C11" s="184" t="n"/>
      <c r="D11" s="185" t="n"/>
    </row>
    <row r="12" ht="18" customHeight="1" s="175">
      <c r="A12" s="340" t="inlineStr">
        <is>
          <t>Net Developable Area (NDA)</t>
        </is>
      </c>
      <c r="B12" s="341" t="n">
        <v>3.5</v>
      </c>
      <c r="C12" s="342" t="inlineStr">
        <is>
          <t>acres</t>
        </is>
      </c>
      <c r="D12" s="267" t="inlineStr">
        <is>
          <t>This phase's allocated NDA</t>
        </is>
      </c>
    </row>
    <row r="13" ht="18" customHeight="1" s="175">
      <c r="A13" s="340" t="inlineStr">
        <is>
          <t>Plot Ratio</t>
        </is>
      </c>
      <c r="B13" s="341" t="n">
        <v>3.5</v>
      </c>
      <c r="C13" s="342" t="n"/>
      <c r="D13" s="267" t="inlineStr">
        <is>
          <t>Per planning approval / assumed</t>
        </is>
      </c>
    </row>
    <row r="14" ht="18" customHeight="1" s="175">
      <c r="A14" s="340" t="inlineStr">
        <is>
          <t>Gross Floor Area (GFA)</t>
        </is>
      </c>
      <c r="B14" s="265">
        <f>B12*43560*B13</f>
        <v/>
      </c>
      <c r="C14" s="342" t="inlineStr">
        <is>
          <t>sqft</t>
        </is>
      </c>
      <c r="D14" s="267" t="inlineStr">
        <is>
          <t>NDA × 43,560 × Plot Ratio</t>
        </is>
      </c>
    </row>
    <row r="15" ht="18" customHeight="1" s="175">
      <c r="A15" s="340" t="inlineStr">
        <is>
          <t>Efficiency Ratio</t>
        </is>
      </c>
      <c r="B15" s="341" t="n">
        <v>0.78</v>
      </c>
      <c r="C15" s="342" t="inlineStr">
        <is>
          <t>%</t>
        </is>
      </c>
      <c r="D15" s="267" t="inlineStr">
        <is>
          <t>GFA → NFA sellable area</t>
        </is>
      </c>
    </row>
    <row r="16" ht="18" customHeight="1" s="175">
      <c r="A16" s="340" t="inlineStr">
        <is>
          <t>Nett Floor Area (NFA) — Sellable</t>
        </is>
      </c>
      <c r="B16" s="265">
        <f>B14*B15</f>
        <v/>
      </c>
      <c r="C16" s="342" t="inlineStr">
        <is>
          <t>sqft</t>
        </is>
      </c>
      <c r="D16" s="267" t="inlineStr">
        <is>
          <t>Base for all psf calculations</t>
        </is>
      </c>
    </row>
    <row r="17" ht="18" customHeight="1" s="175">
      <c r="A17" s="340" t="inlineStr">
        <is>
          <t>Average Unit Size</t>
        </is>
      </c>
      <c r="B17" s="341" t="n">
        <v>950</v>
      </c>
      <c r="C17" s="342" t="inlineStr">
        <is>
          <t>sqft</t>
        </is>
      </c>
      <c r="D17" s="267" t="n"/>
    </row>
    <row r="18" ht="18" customHeight="1" s="175">
      <c r="A18" s="340" t="inlineStr">
        <is>
          <t>Total Units (estimate)</t>
        </is>
      </c>
      <c r="B18" s="265">
        <f>ROUND(B16/B17,0)</f>
        <v/>
      </c>
      <c r="C18" s="342" t="inlineStr">
        <is>
          <t>units</t>
        </is>
      </c>
      <c r="D18" s="267" t="inlineStr">
        <is>
          <t>NFA ÷ avg unit size</t>
        </is>
      </c>
    </row>
    <row r="20" ht="19.5" customHeight="1" s="175">
      <c r="A20" s="238" t="inlineStr">
        <is>
          <t>C · GDV ASSUMPTIONS</t>
        </is>
      </c>
      <c r="B20" s="184" t="n"/>
      <c r="C20" s="184" t="n"/>
      <c r="D20" s="185" t="n"/>
    </row>
    <row r="21" ht="18" customHeight="1" s="175">
      <c r="A21" s="239" t="inlineStr">
        <is>
          <t>Average Selling Price (ASP)</t>
        </is>
      </c>
      <c r="B21" s="240" t="n">
        <v>680</v>
      </c>
      <c r="C21" s="241" t="inlineStr">
        <is>
          <t>RM psf NFA</t>
        </is>
      </c>
      <c r="D21" s="242" t="inlineStr">
        <is>
          <t>Open market; based on market study</t>
        </is>
      </c>
    </row>
    <row r="22" ht="18" customHeight="1" s="175">
      <c r="A22" s="239" t="inlineStr">
        <is>
          <t>Bumi Quota %</t>
        </is>
      </c>
      <c r="B22" s="240" t="n">
        <v>0.3</v>
      </c>
      <c r="C22" s="241" t="inlineStr">
        <is>
          <t>%</t>
        </is>
      </c>
      <c r="D22" s="242" t="inlineStr">
        <is>
          <t>Per DA conditions</t>
        </is>
      </c>
    </row>
    <row r="23" ht="18" customHeight="1" s="175">
      <c r="A23" s="239" t="inlineStr">
        <is>
          <t>Bumi Discount %</t>
        </is>
      </c>
      <c r="B23" s="240" t="n">
        <v>0.07000000000000001</v>
      </c>
      <c r="C23" s="241" t="inlineStr">
        <is>
          <t>%</t>
        </is>
      </c>
      <c r="D23" s="242" t="inlineStr">
        <is>
          <t>Applied to Bumi units only</t>
        </is>
      </c>
    </row>
    <row r="24" ht="18" customHeight="1" s="175">
      <c r="A24" s="239" t="inlineStr">
        <is>
          <t>Affordable / Low-cost %</t>
        </is>
      </c>
      <c r="B24" s="240" t="n">
        <v>0.1</v>
      </c>
      <c r="C24" s="241" t="inlineStr">
        <is>
          <t>%</t>
        </is>
      </c>
      <c r="D24" s="242" t="n"/>
    </row>
    <row r="25" ht="18" customHeight="1" s="175">
      <c r="A25" s="239" t="inlineStr">
        <is>
          <t>Affordable Unit Price (RM/unit)</t>
        </is>
      </c>
      <c r="B25" s="240" t="n">
        <v>42000</v>
      </c>
      <c r="C25" s="241" t="inlineStr">
        <is>
          <t>RM/unit</t>
        </is>
      </c>
      <c r="D25" s="242" t="inlineStr">
        <is>
          <t>Fixed by authority</t>
        </is>
      </c>
    </row>
    <row r="26" ht="18" customHeight="1" s="175">
      <c r="A26" s="239" t="inlineStr">
        <is>
          <t>Car Park Bays (extra sold)</t>
        </is>
      </c>
      <c r="B26" s="240" t="n">
        <v>60</v>
      </c>
      <c r="C26" s="241" t="inlineStr">
        <is>
          <t>bays</t>
        </is>
      </c>
      <c r="D26" s="242" t="n"/>
    </row>
    <row r="27" ht="18" customHeight="1" s="175">
      <c r="A27" s="239" t="inlineStr">
        <is>
          <t>Car Park Price / Bay</t>
        </is>
      </c>
      <c r="B27" s="240" t="n">
        <v>47000</v>
      </c>
      <c r="C27" s="241" t="inlineStr">
        <is>
          <t>RM/bay</t>
        </is>
      </c>
      <c r="D27" s="242" t="n"/>
    </row>
    <row r="29" ht="18" customHeight="1" s="175">
      <c r="A29" s="239" t="inlineStr">
        <is>
          <t>Gross GDV (open market)</t>
        </is>
      </c>
      <c r="B29" s="243">
        <f>B16*B21</f>
        <v/>
      </c>
      <c r="C29" s="241" t="inlineStr">
        <is>
          <t>RM</t>
        </is>
      </c>
      <c r="D29" s="242" t="inlineStr">
        <is>
          <t>NFA × ASP</t>
        </is>
      </c>
    </row>
    <row r="30" ht="18" customHeight="1" s="175">
      <c r="A30" s="239" t="inlineStr">
        <is>
          <t>Less: Bumi Discount</t>
        </is>
      </c>
      <c r="B30" s="243">
        <f>-(B16*B22*B21*B23)</f>
        <v/>
      </c>
      <c r="C30" s="241" t="inlineStr">
        <is>
          <t>RM</t>
        </is>
      </c>
      <c r="D30" s="242" t="inlineStr">
        <is>
          <t>Bumi NFA × ASP × disc%</t>
        </is>
      </c>
    </row>
    <row r="31" ht="18" customHeight="1" s="175">
      <c r="A31" s="239" t="inlineStr">
        <is>
          <t>Less: Affordable Subsidy</t>
        </is>
      </c>
      <c r="B31" s="243">
        <f>-(B18*B24*(B21*B17-B25))</f>
        <v/>
      </c>
      <c r="C31" s="241" t="inlineStr">
        <is>
          <t>RM</t>
        </is>
      </c>
      <c r="D31" s="242" t="inlineStr">
        <is>
          <t>Units × aff% × (mkt−fixed price)</t>
        </is>
      </c>
    </row>
    <row r="32" ht="18" customHeight="1" s="175">
      <c r="A32" s="239" t="inlineStr">
        <is>
          <t>Car Park Revenue</t>
        </is>
      </c>
      <c r="B32" s="243">
        <f>B26*B27</f>
        <v/>
      </c>
      <c r="C32" s="241" t="inlineStr">
        <is>
          <t>RM</t>
        </is>
      </c>
      <c r="D32" s="242" t="n"/>
    </row>
    <row r="34" ht="21.75" customHeight="1" s="175">
      <c r="A34" s="343" t="inlineStr">
        <is>
          <t>NET GDV</t>
        </is>
      </c>
      <c r="B34" s="344">
        <f>SUM(B29:B32)</f>
        <v/>
      </c>
      <c r="C34" s="345" t="inlineStr">
        <is>
          <t>RM</t>
        </is>
      </c>
      <c r="D34" s="346" t="inlineStr">
        <is>
          <t xml:space="preserve"> Gross GDV − Bumi Discount − Affordable subsidy + Car Park</t>
        </is>
      </c>
    </row>
  </sheetData>
  <mergeCells count="5">
    <mergeCell ref="A1:D1"/>
    <mergeCell ref="A4:D4"/>
    <mergeCell ref="A20:D20"/>
    <mergeCell ref="A2:D2"/>
    <mergeCell ref="A11:D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174" min="1" max="1"/>
    <col width="36" customWidth="1" style="174" min="2" max="2"/>
    <col width="16" customWidth="1" style="174" min="3" max="4"/>
    <col width="14" customWidth="1" style="174" min="5" max="6"/>
    <col width="13" customWidth="1" style="174" min="7" max="8"/>
    <col width="20" customWidth="1" style="174" min="9" max="9"/>
  </cols>
  <sheetData>
    <row r="1" ht="25.5" customHeight="1" s="175">
      <c r="A1" s="338" t="inlineStr">
        <is>
          <t>Phase 2 — High-rise Resi (概念)  |  GDC — 5 PILLARS COSTING  |  概念阶段 ◑</t>
        </is>
      </c>
    </row>
    <row r="2" ht="15" customHeight="1" s="175">
      <c r="A2" s="339" t="inlineStr">
        <is>
          <t>C = Budget (RM)  |  D = Committed  |  E = Actual  |  G = Budget psf NFA  |  I = % of Net GDV</t>
        </is>
      </c>
    </row>
    <row r="3" ht="27.75" customHeight="1" s="175">
      <c r="A3" s="182" t="inlineStr">
        <is>
          <t>#</t>
        </is>
      </c>
      <c r="B3" s="182" t="inlineStr">
        <is>
          <t>Cost Item</t>
        </is>
      </c>
      <c r="C3" s="182" t="inlineStr">
        <is>
          <t>Budget (RM)</t>
        </is>
      </c>
      <c r="D3" s="182" t="inlineStr">
        <is>
          <t>Committed (RM)</t>
        </is>
      </c>
      <c r="E3" s="182" t="inlineStr">
        <is>
          <t>Actual (RM)</t>
        </is>
      </c>
      <c r="F3" s="182" t="inlineStr">
        <is>
          <t>Variance</t>
        </is>
      </c>
      <c r="G3" s="182" t="inlineStr">
        <is>
          <t>Budget psf</t>
        </is>
      </c>
      <c r="H3" s="182" t="inlineStr">
        <is>
          <t>Actual psf</t>
        </is>
      </c>
      <c r="I3" s="182" t="inlineStr">
        <is>
          <t>% Net GDV</t>
        </is>
      </c>
    </row>
    <row r="5" ht="19.5" customHeight="1" s="175">
      <c r="A5" s="248" t="inlineStr">
        <is>
          <t>P1</t>
        </is>
      </c>
      <c r="B5" s="193" t="inlineStr">
        <is>
          <t>PILLAR 1 · LAND COST</t>
        </is>
      </c>
      <c r="C5" s="184" t="n"/>
      <c r="D5" s="184" t="n"/>
      <c r="E5" s="184" t="n"/>
      <c r="F5" s="185" t="n"/>
      <c r="G5" s="249" t="n"/>
      <c r="H5" s="249" t="n"/>
      <c r="I5" s="250" t="inlineStr">
        <is>
          <t>Target: 15–25% Net GDV</t>
        </is>
      </c>
    </row>
    <row r="6" ht="16.5" customHeight="1" s="175">
      <c r="A6" s="251" t="inlineStr">
        <is>
          <t>1.1</t>
        </is>
      </c>
      <c r="B6" s="252" t="inlineStr">
        <is>
          <t xml:space="preserve">    Land Price (phase share)</t>
        </is>
      </c>
      <c r="C6" s="253" t="n">
        <v>10500000</v>
      </c>
      <c r="D6" s="253" t="n">
        <v>0</v>
      </c>
      <c r="E6" s="253" t="n">
        <v>0</v>
      </c>
      <c r="F6" s="237">
        <f>C6-E6</f>
        <v/>
      </c>
      <c r="G6" s="254">
        <f>IFERROR(C6/P2_INPUT!B16,0)</f>
        <v/>
      </c>
      <c r="H6" s="254">
        <f>IFERROR(E6/P2_INPUT!B16,0)</f>
        <v/>
      </c>
      <c r="I6" s="236" t="inlineStr">
        <is>
          <t>Allocated from master land cost by NDA%</t>
        </is>
      </c>
    </row>
    <row r="7" ht="16.5" customHeight="1" s="175">
      <c r="A7" s="251" t="inlineStr">
        <is>
          <t>1.2</t>
        </is>
      </c>
      <c r="B7" s="252" t="inlineStr">
        <is>
          <t xml:space="preserve">    Transaction costs (stamp/legal)</t>
        </is>
      </c>
      <c r="C7" s="237">
        <f>C6*0.055</f>
        <v/>
      </c>
      <c r="D7" s="253" t="n">
        <v>0</v>
      </c>
      <c r="E7" s="253" t="n">
        <v>0</v>
      </c>
      <c r="F7" s="237">
        <f>C7-E7</f>
        <v/>
      </c>
      <c r="G7" s="254">
        <f>IFERROR(C7/P2_INPUT!B16,0)</f>
        <v/>
      </c>
      <c r="H7" s="254">
        <f>IFERROR(E7/P2_INPUT!B16,0)</f>
        <v/>
      </c>
      <c r="I7" s="236" t="inlineStr">
        <is>
          <t>Stamp + legal ~5.5% of land price</t>
        </is>
      </c>
    </row>
    <row r="8" ht="16.5" customHeight="1" s="175">
      <c r="A8" s="251" t="inlineStr">
        <is>
          <t>1.3</t>
        </is>
      </c>
      <c r="B8" s="252" t="inlineStr">
        <is>
          <t xml:space="preserve">    Conversion + Holding Interest</t>
        </is>
      </c>
      <c r="C8" s="253" t="n">
        <v>1000000</v>
      </c>
      <c r="D8" s="253" t="n">
        <v>0</v>
      </c>
      <c r="E8" s="253" t="n">
        <v>0</v>
      </c>
      <c r="F8" s="237">
        <f>C8-E8</f>
        <v/>
      </c>
      <c r="G8" s="254">
        <f>IFERROR(C8/P2_INPUT!B16,0)</f>
        <v/>
      </c>
      <c r="H8" s="254">
        <f>IFERROR(E8/P2_INPUT!B16,0)</f>
        <v/>
      </c>
      <c r="I8" s="236" t="inlineStr">
        <is>
          <t>Combined estimate; refine at planning stage</t>
        </is>
      </c>
    </row>
    <row r="9" ht="19.5" customHeight="1" s="175">
      <c r="A9" s="249" t="n"/>
      <c r="B9" s="193" t="inlineStr">
        <is>
          <t>PILLAR 1 TOTAL</t>
        </is>
      </c>
      <c r="C9" s="255">
        <f>SUM(C6:C8)</f>
        <v/>
      </c>
      <c r="D9" s="255">
        <f>SUM(D6:D8)</f>
        <v/>
      </c>
      <c r="E9" s="255">
        <f>SUM(E6:E8)</f>
        <v/>
      </c>
      <c r="F9" s="255">
        <f>C9-E9</f>
        <v/>
      </c>
      <c r="G9" s="256">
        <f>IFERROR(C9/P2_INPUT!B16,0)</f>
        <v/>
      </c>
      <c r="H9" s="256">
        <f>IFERROR(E9/P2_INPUT!B16,0)</f>
        <v/>
      </c>
      <c r="I9" s="257">
        <f>IFERROR(C9/P2_INPUT!B34,0)</f>
        <v/>
      </c>
    </row>
    <row r="10" ht="6" customHeight="1" s="175">
      <c r="A10" s="258" t="n"/>
      <c r="B10" s="184" t="n"/>
      <c r="C10" s="184" t="n"/>
      <c r="D10" s="184" t="n"/>
      <c r="E10" s="184" t="n"/>
      <c r="F10" s="184" t="n"/>
      <c r="G10" s="184" t="n"/>
      <c r="H10" s="184" t="n"/>
      <c r="I10" s="184" t="n"/>
    </row>
    <row r="11" ht="19.5" customHeight="1" s="175">
      <c r="A11" s="259" t="inlineStr">
        <is>
          <t>P2</t>
        </is>
      </c>
      <c r="B11" s="226" t="inlineStr">
        <is>
          <t>PILLAR 2 · CONSTRUCTION COST</t>
        </is>
      </c>
      <c r="C11" s="184" t="n"/>
      <c r="D11" s="184" t="n"/>
      <c r="E11" s="184" t="n"/>
      <c r="F11" s="185" t="n"/>
      <c r="G11" s="260" t="n"/>
      <c r="H11" s="260" t="n"/>
      <c r="I11" s="261" t="inlineStr">
        <is>
          <t>Target: 45–50% Net GDV</t>
        </is>
      </c>
    </row>
    <row r="12" ht="16.5" customHeight="1" s="175">
      <c r="A12" s="262" t="inlineStr">
        <is>
          <t>2.1</t>
        </is>
      </c>
      <c r="B12" s="263" t="inlineStr">
        <is>
          <t xml:space="preserve">    Main Building (C&amp;S + Arch)</t>
        </is>
      </c>
      <c r="C12" s="264" t="n">
        <v>23200000</v>
      </c>
      <c r="D12" s="264" t="n">
        <v>0</v>
      </c>
      <c r="E12" s="264" t="n">
        <v>0</v>
      </c>
      <c r="F12" s="265">
        <f>C12-E12</f>
        <v/>
      </c>
      <c r="G12" s="266">
        <f>IFERROR(C12/P2_INPUT!B16,0)</f>
        <v/>
      </c>
      <c r="H12" s="266">
        <f>IFERROR(E12/P2_INPUT!B16,0)</f>
        <v/>
      </c>
      <c r="I12" s="267" t="inlineStr">
        <is>
          <t>Estimated at RM 320 psf GFA</t>
        </is>
      </c>
    </row>
    <row r="13" ht="16.5" customHeight="1" s="175">
      <c r="A13" s="262" t="inlineStr">
        <is>
          <t>2.2</t>
        </is>
      </c>
      <c r="B13" s="263" t="inlineStr">
        <is>
          <t xml:space="preserve">    M&amp;E Complete</t>
        </is>
      </c>
      <c r="C13" s="264" t="n">
        <v>7175000</v>
      </c>
      <c r="D13" s="264" t="n">
        <v>0</v>
      </c>
      <c r="E13" s="264" t="n">
        <v>0</v>
      </c>
      <c r="F13" s="265">
        <f>C13-E13</f>
        <v/>
      </c>
      <c r="G13" s="266">
        <f>IFERROR(C13/P2_INPUT!B16,0)</f>
        <v/>
      </c>
      <c r="H13" s="266">
        <f>IFERROR(E13/P2_INPUT!B16,0)</f>
        <v/>
      </c>
      <c r="I13" s="267" t="inlineStr">
        <is>
          <t>Estimated at RM 90 psf GFA</t>
        </is>
      </c>
    </row>
    <row r="14" ht="16.5" customHeight="1" s="175">
      <c r="A14" s="262" t="inlineStr">
        <is>
          <t>2.3</t>
        </is>
      </c>
      <c r="B14" s="263" t="inlineStr">
        <is>
          <t xml:space="preserve">    Piling + Prelim + Contingency</t>
        </is>
      </c>
      <c r="C14" s="265">
        <f>SUM(C12:C13)*0.15</f>
        <v/>
      </c>
      <c r="D14" s="264" t="n">
        <v>0</v>
      </c>
      <c r="E14" s="264" t="n">
        <v>0</v>
      </c>
      <c r="F14" s="265">
        <f>C14-E14</f>
        <v/>
      </c>
      <c r="G14" s="266">
        <f>IFERROR(C14/P2_INPUT!B16,0)</f>
        <v/>
      </c>
      <c r="H14" s="266">
        <f>IFERROR(E14/P2_INPUT!B16,0)</f>
        <v/>
      </c>
      <c r="I14" s="267" t="inlineStr">
        <is>
          <t>~15% of main works</t>
        </is>
      </c>
    </row>
    <row r="15" ht="19.5" customHeight="1" s="175">
      <c r="A15" s="260" t="n"/>
      <c r="B15" s="226" t="inlineStr">
        <is>
          <t>PILLAR 2 TOTAL</t>
        </is>
      </c>
      <c r="C15" s="268">
        <f>SUM(C12:C14)</f>
        <v/>
      </c>
      <c r="D15" s="268">
        <f>SUM(D12:D14)</f>
        <v/>
      </c>
      <c r="E15" s="268">
        <f>SUM(E12:E14)</f>
        <v/>
      </c>
      <c r="F15" s="268">
        <f>C15-E15</f>
        <v/>
      </c>
      <c r="G15" s="269">
        <f>IFERROR(C15/P2_INPUT!B16,0)</f>
        <v/>
      </c>
      <c r="H15" s="269">
        <f>IFERROR(E15/P2_INPUT!B16,0)</f>
        <v/>
      </c>
      <c r="I15" s="270">
        <f>IFERROR(C15/P2_INPUT!B34,0)</f>
        <v/>
      </c>
    </row>
    <row r="16" ht="6" customHeight="1" s="175">
      <c r="A16" s="258" t="n"/>
      <c r="B16" s="184" t="n"/>
      <c r="C16" s="184" t="n"/>
      <c r="D16" s="184" t="n"/>
      <c r="E16" s="184" t="n"/>
      <c r="F16" s="184" t="n"/>
      <c r="G16" s="184" t="n"/>
      <c r="H16" s="184" t="n"/>
      <c r="I16" s="184" t="n"/>
    </row>
    <row r="17" ht="19.5" customHeight="1" s="175">
      <c r="A17" s="271" t="inlineStr">
        <is>
          <t>P3</t>
        </is>
      </c>
      <c r="B17" s="272" t="inlineStr">
        <is>
          <t>PILLAR 3 · INFRASTRUCTURE + STATUTORY</t>
        </is>
      </c>
      <c r="C17" s="184" t="n"/>
      <c r="D17" s="184" t="n"/>
      <c r="E17" s="184" t="n"/>
      <c r="F17" s="185" t="n"/>
      <c r="G17" s="273" t="n"/>
      <c r="H17" s="273" t="n"/>
      <c r="I17" s="274" t="inlineStr">
        <is>
          <t>Target: 8–15% Net GDV</t>
        </is>
      </c>
    </row>
    <row r="18" ht="16.5" customHeight="1" s="175">
      <c r="A18" s="275" t="inlineStr">
        <is>
          <t>3.1</t>
        </is>
      </c>
      <c r="B18" s="276" t="inlineStr">
        <is>
          <t xml:space="preserve">    Infrastructure Works</t>
        </is>
      </c>
      <c r="C18" s="277" t="n">
        <v>3650000</v>
      </c>
      <c r="D18" s="277" t="n">
        <v>0</v>
      </c>
      <c r="E18" s="277" t="n">
        <v>0</v>
      </c>
      <c r="F18" s="278">
        <f>C18-E18</f>
        <v/>
      </c>
      <c r="G18" s="279">
        <f>IFERROR(C18/P2_INPUT!B16,0)</f>
        <v/>
      </c>
      <c r="H18" s="279">
        <f>IFERROR(E18/P2_INPUT!B16,0)</f>
        <v/>
      </c>
      <c r="I18" s="280" t="inlineStr">
        <is>
          <t>Roads, drainage, TNB, water — estimated</t>
        </is>
      </c>
    </row>
    <row r="19" ht="16.5" customHeight="1" s="175">
      <c r="A19" s="275" t="inlineStr">
        <is>
          <t>3.2</t>
        </is>
      </c>
      <c r="B19" s="347" t="inlineStr">
        <is>
          <t xml:space="preserve">    Statutory Contributions</t>
        </is>
      </c>
      <c r="C19" s="348" t="n">
        <v>1295000</v>
      </c>
      <c r="D19" s="348" t="n">
        <v>0</v>
      </c>
      <c r="E19" s="348" t="n">
        <v>0</v>
      </c>
      <c r="F19" s="278">
        <f>C19-E19</f>
        <v/>
      </c>
      <c r="G19" s="279">
        <f>IFERROR(C19/P2_INPUT!B16,0)</f>
        <v/>
      </c>
      <c r="H19" s="279">
        <f>IFERROR(E19/P2_INPUT!B16,0)</f>
        <v/>
      </c>
      <c r="I19" s="280" t="inlineStr">
        <is>
          <t>Open space + dev contribution — TBC at DA</t>
        </is>
      </c>
    </row>
    <row r="20" ht="16.5" customHeight="1" s="175">
      <c r="A20" s="275" t="inlineStr">
        <is>
          <t>3.3</t>
        </is>
      </c>
      <c r="B20" s="276" t="inlineStr">
        <is>
          <t xml:space="preserve">    Contingency (5%)</t>
        </is>
      </c>
      <c r="C20" s="278">
        <f>SUM(C18:C19)*0.05</f>
        <v/>
      </c>
      <c r="D20" s="277" t="n">
        <v>0</v>
      </c>
      <c r="E20" s="277" t="n">
        <v>0</v>
      </c>
      <c r="F20" s="278">
        <f>C20-E20</f>
        <v/>
      </c>
      <c r="G20" s="279">
        <f>IFERROR(C20/P2_INPUT!B16,0)</f>
        <v/>
      </c>
      <c r="H20" s="279">
        <f>IFERROR(E20/P2_INPUT!B16,0)</f>
        <v/>
      </c>
      <c r="I20" s="280" t="n"/>
    </row>
    <row r="21" ht="19.5" customHeight="1" s="175">
      <c r="A21" s="273" t="n"/>
      <c r="B21" s="272" t="inlineStr">
        <is>
          <t>PILLAR 3 TOTAL</t>
        </is>
      </c>
      <c r="C21" s="281">
        <f>SUM(C18:C20)</f>
        <v/>
      </c>
      <c r="D21" s="281">
        <f>SUM(D18:D20)</f>
        <v/>
      </c>
      <c r="E21" s="281">
        <f>SUM(E18:E20)</f>
        <v/>
      </c>
      <c r="F21" s="281">
        <f>C21-E21</f>
        <v/>
      </c>
      <c r="G21" s="282">
        <f>IFERROR(C21/P2_INPUT!B16,0)</f>
        <v/>
      </c>
      <c r="H21" s="282">
        <f>IFERROR(E21/P2_INPUT!B16,0)</f>
        <v/>
      </c>
      <c r="I21" s="283">
        <f>IFERROR(C21/P2_INPUT!B34,0)</f>
        <v/>
      </c>
    </row>
    <row r="22" ht="6" customHeight="1" s="175">
      <c r="A22" s="258" t="n"/>
      <c r="B22" s="184" t="n"/>
      <c r="C22" s="184" t="n"/>
      <c r="D22" s="184" t="n"/>
      <c r="E22" s="184" t="n"/>
      <c r="F22" s="184" t="n"/>
      <c r="G22" s="184" t="n"/>
      <c r="H22" s="184" t="n"/>
      <c r="I22" s="184" t="n"/>
    </row>
    <row r="23" ht="19.5" customHeight="1" s="175">
      <c r="A23" s="284" t="inlineStr">
        <is>
          <t>P4</t>
        </is>
      </c>
      <c r="B23" s="285" t="inlineStr">
        <is>
          <t>PILLAR 4 · PROFESSIONAL FEES</t>
        </is>
      </c>
      <c r="C23" s="184" t="n"/>
      <c r="D23" s="184" t="n"/>
      <c r="E23" s="184" t="n"/>
      <c r="F23" s="185" t="n"/>
      <c r="G23" s="286" t="n"/>
      <c r="H23" s="286" t="n"/>
      <c r="I23" s="287" t="inlineStr">
        <is>
          <t>Target: 3–5% Net GDV</t>
        </is>
      </c>
    </row>
    <row r="24" ht="16.5" customHeight="1" s="175">
      <c r="A24" s="288" t="inlineStr">
        <is>
          <t>4.1</t>
        </is>
      </c>
      <c r="B24" s="289" t="inlineStr">
        <is>
          <t xml:space="preserve">    All Consultants (combined)</t>
        </is>
      </c>
      <c r="C24" s="291" t="n">
        <v>450000</v>
      </c>
      <c r="D24" s="291" t="n">
        <v>0</v>
      </c>
      <c r="E24" s="291" t="n">
        <v>0</v>
      </c>
      <c r="F24" s="290">
        <f>C24-E24</f>
        <v/>
      </c>
      <c r="G24" s="292">
        <f>IFERROR(C24/P2_INPUT!B16,0)</f>
        <v/>
      </c>
      <c r="H24" s="292">
        <f>IFERROR(E24/P2_INPUT!B16,0)</f>
        <v/>
      </c>
      <c r="I24" s="293" t="inlineStr">
        <is>
          <t>Archi + Struct + ME + QS + Legal — estimated</t>
        </is>
      </c>
    </row>
    <row r="25" ht="19.5" customHeight="1" s="175">
      <c r="A25" s="286" t="n"/>
      <c r="B25" s="285" t="inlineStr">
        <is>
          <t>PILLAR 4 TOTAL</t>
        </is>
      </c>
      <c r="C25" s="294">
        <f>SUM(C24:C24)</f>
        <v/>
      </c>
      <c r="D25" s="294">
        <f>SUM(D24:D24)</f>
        <v/>
      </c>
      <c r="E25" s="294">
        <f>SUM(E24:E24)</f>
        <v/>
      </c>
      <c r="F25" s="294">
        <f>C25-E25</f>
        <v/>
      </c>
      <c r="G25" s="295">
        <f>IFERROR(C25/P2_INPUT!B16,0)</f>
        <v/>
      </c>
      <c r="H25" s="295">
        <f>IFERROR(E25/P2_INPUT!B16,0)</f>
        <v/>
      </c>
      <c r="I25" s="296">
        <f>IFERROR(C25/P2_INPUT!B34,0)</f>
        <v/>
      </c>
    </row>
    <row r="26" ht="6" customHeight="1" s="175">
      <c r="A26" s="258" t="n"/>
      <c r="B26" s="184" t="n"/>
      <c r="C26" s="184" t="n"/>
      <c r="D26" s="184" t="n"/>
      <c r="E26" s="184" t="n"/>
      <c r="F26" s="184" t="n"/>
      <c r="G26" s="184" t="n"/>
      <c r="H26" s="184" t="n"/>
      <c r="I26" s="184" t="n"/>
    </row>
    <row r="27" ht="19.5" customHeight="1" s="175">
      <c r="A27" s="297" t="inlineStr">
        <is>
          <t>P5</t>
        </is>
      </c>
      <c r="B27" s="238" t="inlineStr">
        <is>
          <t>PILLAR 5 · FINANCE + MARKETING</t>
        </is>
      </c>
      <c r="C27" s="184" t="n"/>
      <c r="D27" s="184" t="n"/>
      <c r="E27" s="184" t="n"/>
      <c r="F27" s="185" t="n"/>
      <c r="G27" s="298" t="n"/>
      <c r="H27" s="298" t="n"/>
      <c r="I27" s="299" t="inlineStr">
        <is>
          <t>Target: 6–10% Net GDV</t>
        </is>
      </c>
    </row>
    <row r="28" ht="16.5" customHeight="1" s="175">
      <c r="A28" s="300" t="inlineStr">
        <is>
          <t>5.1</t>
        </is>
      </c>
      <c r="B28" s="301" t="inlineStr">
        <is>
          <t xml:space="preserve">    Finance Cost (IDC + fees)</t>
        </is>
      </c>
      <c r="C28" s="302" t="n">
        <v>4600000</v>
      </c>
      <c r="D28" s="302" t="n">
        <v>0</v>
      </c>
      <c r="E28" s="302" t="n">
        <v>0</v>
      </c>
      <c r="F28" s="243">
        <f>C28-E28</f>
        <v/>
      </c>
      <c r="G28" s="303">
        <f>IFERROR(C28/P2_INPUT!B16,0)</f>
        <v/>
      </c>
      <c r="H28" s="303">
        <f>IFERROR(E28/P2_INPUT!B16,0)</f>
        <v/>
      </c>
      <c r="I28" s="242" t="inlineStr">
        <is>
          <t>Estimate; refine with loan term</t>
        </is>
      </c>
    </row>
    <row r="29" ht="16.5" customHeight="1" s="175">
      <c r="A29" s="300" t="inlineStr">
        <is>
          <t>5.2</t>
        </is>
      </c>
      <c r="B29" s="301" t="inlineStr">
        <is>
          <t xml:space="preserve">    Marketing + Agent Commission</t>
        </is>
      </c>
      <c r="C29" s="304">
        <f>P2_INPUT!B34*0.025+680000</f>
        <v/>
      </c>
      <c r="D29" s="302" t="n">
        <v>0</v>
      </c>
      <c r="E29" s="302" t="n">
        <v>0</v>
      </c>
      <c r="F29" s="243">
        <f>C29-E29</f>
        <v/>
      </c>
      <c r="G29" s="303">
        <f>IFERROR(C29/P2_INPUT!B16,0)</f>
        <v/>
      </c>
      <c r="H29" s="303">
        <f>IFERROR(E29/P2_INPUT!B16,0)</f>
        <v/>
      </c>
      <c r="I29" s="242" t="inlineStr">
        <is>
          <t>2.5% agent + est. gallery/mktg</t>
        </is>
      </c>
    </row>
    <row r="30" ht="19.5" customHeight="1" s="175">
      <c r="A30" s="298" t="n"/>
      <c r="B30" s="238" t="inlineStr">
        <is>
          <t>PILLAR 5 TOTAL</t>
        </is>
      </c>
      <c r="C30" s="305">
        <f>SUM(C28:C29)</f>
        <v/>
      </c>
      <c r="D30" s="305">
        <f>SUM(D28:D29)</f>
        <v/>
      </c>
      <c r="E30" s="305">
        <f>SUM(E28:E29)</f>
        <v/>
      </c>
      <c r="F30" s="305">
        <f>C30-E30</f>
        <v/>
      </c>
      <c r="G30" s="306">
        <f>IFERROR(C30/P2_INPUT!B16,0)</f>
        <v/>
      </c>
      <c r="H30" s="306">
        <f>IFERROR(E30/P2_INPUT!B16,0)</f>
        <v/>
      </c>
      <c r="I30" s="307">
        <f>IFERROR(C30/P2_INPUT!B34,0)</f>
        <v/>
      </c>
    </row>
    <row r="31" ht="6" customHeight="1" s="175">
      <c r="A31" s="258" t="n"/>
      <c r="B31" s="184" t="n"/>
      <c r="C31" s="184" t="n"/>
      <c r="D31" s="184" t="n"/>
      <c r="E31" s="184" t="n"/>
      <c r="F31" s="184" t="n"/>
      <c r="G31" s="184" t="n"/>
      <c r="H31" s="184" t="n"/>
      <c r="I31" s="184" t="n"/>
    </row>
    <row r="32" ht="25.5" customHeight="1" s="175">
      <c r="A32" s="308" t="inlineStr">
        <is>
          <t>GDC</t>
        </is>
      </c>
      <c r="B32" s="309" t="inlineStr">
        <is>
          <t>GROSS DEVELOPMENT COST</t>
        </is>
      </c>
      <c r="C32" s="217">
        <f>C9+C15+C21+C25+C30</f>
        <v/>
      </c>
      <c r="D32" s="217">
        <f>D9+D15+D21+D25+D30</f>
        <v/>
      </c>
      <c r="E32" s="217">
        <f>E9+E15+E21+E25+E30</f>
        <v/>
      </c>
      <c r="F32" s="217">
        <f>C32-E32</f>
        <v/>
      </c>
      <c r="G32" s="310">
        <f>IFERROR(C32/P2_INPUT!B16,0)</f>
        <v/>
      </c>
      <c r="H32" s="310">
        <f>IFERROR(E32/P2_INPUT!B16,0)</f>
        <v/>
      </c>
      <c r="I32" s="311">
        <f>IFERROR(C32/P2_INPUT!B34,0)</f>
        <v/>
      </c>
    </row>
    <row r="33" ht="6" customHeight="1" s="175">
      <c r="A33" s="192" t="n"/>
    </row>
    <row r="34" ht="25.5" customHeight="1" s="175">
      <c r="A34" s="312" t="inlineStr">
        <is>
          <t>PBT</t>
        </is>
      </c>
      <c r="B34" s="313" t="inlineStr">
        <is>
          <t>PROFIT BEFORE TAX  (Net GDV − GDC)</t>
        </is>
      </c>
      <c r="C34" s="314">
        <f>P2_INPUT!B34-C32</f>
        <v/>
      </c>
      <c r="D34" s="249" t="n"/>
      <c r="E34" s="249" t="n"/>
      <c r="F34" s="249" t="n"/>
      <c r="G34" s="315">
        <f>IFERROR(C34/P2_INPUT!B16,0)</f>
        <v/>
      </c>
      <c r="H34" s="249" t="n"/>
      <c r="I34" s="257">
        <f>IFERROR(C34/P2_INPUT!B34,0)</f>
        <v/>
      </c>
    </row>
  </sheetData>
  <mergeCells count="13">
    <mergeCell ref="A33:I33"/>
    <mergeCell ref="A2:I2"/>
    <mergeCell ref="A10:I10"/>
    <mergeCell ref="B11:F11"/>
    <mergeCell ref="B5:F5"/>
    <mergeCell ref="A1:I1"/>
    <mergeCell ref="B23:F23"/>
    <mergeCell ref="A31:I31"/>
    <mergeCell ref="A22:I22"/>
    <mergeCell ref="B17:F17"/>
    <mergeCell ref="A26:I26"/>
    <mergeCell ref="B27:F27"/>
    <mergeCell ref="A16:I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74" min="1" max="1"/>
    <col width="18" customWidth="1" style="174" min="2" max="2"/>
    <col width="12" customWidth="1" style="174" min="3" max="3"/>
    <col width="32" customWidth="1" style="174" min="4" max="4"/>
  </cols>
  <sheetData>
    <row r="1" ht="25.5" customHeight="1" s="175">
      <c r="A1" s="349" t="inlineStr">
        <is>
          <t>Phase 3 — Mixed TBC (占位)  |  INPUT ASSUMPTIONS  |  状态：未规划 TBC ○</t>
        </is>
      </c>
    </row>
    <row r="2" ht="15" customHeight="1" s="175">
      <c r="A2" s="350" t="inlineStr">
        <is>
          <t>Blue = hardcoded input  |  Black = calculated  |  Gray = TBC / indicative only</t>
        </is>
      </c>
    </row>
    <row r="4" ht="19.5" customHeight="1" s="175">
      <c r="A4" s="183" t="inlineStr">
        <is>
          <t>A · PROJECT INFORMATION</t>
        </is>
      </c>
      <c r="B4" s="184" t="n"/>
      <c r="C4" s="184" t="n"/>
      <c r="D4" s="185" t="n"/>
    </row>
    <row r="5" ht="18" customHeight="1" s="175">
      <c r="A5" s="229" t="inlineStr">
        <is>
          <t>Phase Name</t>
        </is>
      </c>
      <c r="B5" s="230" t="inlineStr">
        <is>
          <t>Phase 3 — Mixed TBC (占位)</t>
        </is>
      </c>
      <c r="C5" s="231" t="n"/>
      <c r="D5" s="232" t="n"/>
    </row>
    <row r="6" ht="18" customHeight="1" s="175">
      <c r="A6" s="229" t="inlineStr">
        <is>
          <t>Product Type</t>
        </is>
      </c>
      <c r="B6" s="230" t="inlineStr">
        <is>
          <t>Mixed / TBD</t>
        </is>
      </c>
      <c r="C6" s="231" t="n"/>
      <c r="D6" s="232" t="n"/>
    </row>
    <row r="7" ht="18" customHeight="1" s="175">
      <c r="A7" s="229" t="inlineStr">
        <is>
          <t>Target Launch Date</t>
        </is>
      </c>
      <c r="B7" s="230" t="inlineStr">
        <is>
          <t>TBD</t>
        </is>
      </c>
      <c r="C7" s="231" t="n"/>
      <c r="D7" s="232" t="n"/>
    </row>
    <row r="8" ht="18" customHeight="1" s="175">
      <c r="A8" s="229" t="inlineStr">
        <is>
          <t>Target VP Date</t>
        </is>
      </c>
      <c r="B8" s="230" t="inlineStr">
        <is>
          <t>TBD</t>
        </is>
      </c>
      <c r="C8" s="231" t="n"/>
      <c r="D8" s="232" t="n"/>
    </row>
    <row r="9" ht="18" customHeight="1" s="175">
      <c r="A9" s="229" t="inlineStr">
        <is>
          <t>Construction Period</t>
        </is>
      </c>
      <c r="B9" s="230" t="n">
        <v>36</v>
      </c>
      <c r="C9" s="231" t="inlineStr">
        <is>
          <t>months</t>
        </is>
      </c>
      <c r="D9" s="232" t="n"/>
    </row>
    <row r="11" ht="19.5" customHeight="1" s="175">
      <c r="A11" s="351" t="inlineStr">
        <is>
          <t>B · AREA PARAMETERS</t>
        </is>
      </c>
      <c r="B11" s="184" t="n"/>
      <c r="C11" s="184" t="n"/>
      <c r="D11" s="185" t="n"/>
    </row>
    <row r="12" ht="18" customHeight="1" s="175">
      <c r="A12" s="222" t="inlineStr">
        <is>
          <t>Net Developable Area (NDA)</t>
        </is>
      </c>
      <c r="B12" s="352" t="n">
        <v>2.5</v>
      </c>
      <c r="C12" s="353" t="inlineStr">
        <is>
          <t>acres</t>
        </is>
      </c>
      <c r="D12" s="354" t="inlineStr">
        <is>
          <t>This phase's allocated NDA</t>
        </is>
      </c>
    </row>
    <row r="13" ht="18" customHeight="1" s="175">
      <c r="A13" s="222" t="inlineStr">
        <is>
          <t>Plot Ratio</t>
        </is>
      </c>
      <c r="B13" s="352" t="n">
        <v>3</v>
      </c>
      <c r="C13" s="353" t="n"/>
      <c r="D13" s="354" t="inlineStr">
        <is>
          <t>Per planning approval / assumed</t>
        </is>
      </c>
    </row>
    <row r="14" ht="18" customHeight="1" s="175">
      <c r="A14" s="222" t="inlineStr">
        <is>
          <t>Gross Floor Area (GFA)</t>
        </is>
      </c>
      <c r="B14" s="355">
        <f>B12*43560*B13</f>
        <v/>
      </c>
      <c r="C14" s="353" t="inlineStr">
        <is>
          <t>sqft</t>
        </is>
      </c>
      <c r="D14" s="354" t="inlineStr">
        <is>
          <t>NDA × 43,560 × Plot Ratio</t>
        </is>
      </c>
    </row>
    <row r="15" ht="18" customHeight="1" s="175">
      <c r="A15" s="222" t="inlineStr">
        <is>
          <t>Efficiency Ratio</t>
        </is>
      </c>
      <c r="B15" s="352" t="n">
        <v>0.75</v>
      </c>
      <c r="C15" s="353" t="inlineStr">
        <is>
          <t>%</t>
        </is>
      </c>
      <c r="D15" s="354" t="inlineStr">
        <is>
          <t>GFA → NFA sellable area</t>
        </is>
      </c>
    </row>
    <row r="16" ht="18" customHeight="1" s="175">
      <c r="A16" s="222" t="inlineStr">
        <is>
          <t>Nett Floor Area (NFA) — Sellable</t>
        </is>
      </c>
      <c r="B16" s="355">
        <f>B14*B15</f>
        <v/>
      </c>
      <c r="C16" s="353" t="inlineStr">
        <is>
          <t>sqft</t>
        </is>
      </c>
      <c r="D16" s="354" t="inlineStr">
        <is>
          <t>Base for all psf calculations</t>
        </is>
      </c>
    </row>
    <row r="17" ht="18" customHeight="1" s="175">
      <c r="A17" s="222" t="inlineStr">
        <is>
          <t>Average Unit Size</t>
        </is>
      </c>
      <c r="B17" s="352" t="n">
        <v>900</v>
      </c>
      <c r="C17" s="353" t="inlineStr">
        <is>
          <t>sqft</t>
        </is>
      </c>
      <c r="D17" s="354" t="n"/>
    </row>
    <row r="18" ht="18" customHeight="1" s="175">
      <c r="A18" s="222" t="inlineStr">
        <is>
          <t>Total Units (estimate)</t>
        </is>
      </c>
      <c r="B18" s="355">
        <f>ROUND(B16/B17,0)</f>
        <v/>
      </c>
      <c r="C18" s="353" t="inlineStr">
        <is>
          <t>units</t>
        </is>
      </c>
      <c r="D18" s="354" t="inlineStr">
        <is>
          <t>NFA ÷ avg unit size</t>
        </is>
      </c>
    </row>
    <row r="20" ht="19.5" customHeight="1" s="175">
      <c r="A20" s="238" t="inlineStr">
        <is>
          <t>C · GDV ASSUMPTIONS</t>
        </is>
      </c>
      <c r="B20" s="184" t="n"/>
      <c r="C20" s="184" t="n"/>
      <c r="D20" s="185" t="n"/>
    </row>
    <row r="21" ht="18" customHeight="1" s="175">
      <c r="A21" s="222" t="inlineStr">
        <is>
          <t>GDV per Nett Acre (benchmark)</t>
        </is>
      </c>
      <c r="B21" s="352" t="n">
        <v>22000000</v>
      </c>
      <c r="C21" s="353" t="inlineStr">
        <is>
          <t>RM/acre</t>
        </is>
      </c>
      <c r="D21" s="354" t="inlineStr">
        <is>
          <t>From comparable completed projects in area</t>
        </is>
      </c>
    </row>
    <row r="22" ht="18" customHeight="1" s="175">
      <c r="A22" s="222" t="inlineStr">
        <is>
          <t>Estimated Gross GDV</t>
        </is>
      </c>
      <c r="B22" s="355">
        <f>B12*B21</f>
        <v/>
      </c>
      <c r="C22" s="353" t="inlineStr">
        <is>
          <t>RM</t>
        </is>
      </c>
      <c r="D22" s="354" t="inlineStr">
        <is>
          <t>NDA × GDV/acre  |  INDICATIVE ONLY</t>
        </is>
      </c>
    </row>
    <row r="23" ht="18" customHeight="1" s="175">
      <c r="A23" s="222" t="inlineStr">
        <is>
          <t>Bumi Discount Provision</t>
        </is>
      </c>
      <c r="B23" s="352" t="n">
        <v>3000000</v>
      </c>
      <c r="C23" s="353" t="inlineStr">
        <is>
          <t>RM</t>
        </is>
      </c>
      <c r="D23" s="354" t="inlineStr">
        <is>
          <t>Flat provision; refine when planning known</t>
        </is>
      </c>
    </row>
    <row r="24" ht="18" customHeight="1" s="175">
      <c r="A24" s="222" t="inlineStr">
        <is>
          <t>NET GDV (indicative)</t>
        </is>
      </c>
      <c r="B24" s="356">
        <f>B22-B23</f>
        <v/>
      </c>
      <c r="C24" s="353" t="inlineStr">
        <is>
          <t>RM</t>
        </is>
      </c>
      <c r="D24" s="354" t="inlineStr">
        <is>
          <t>TBC — pending planning &amp; market study</t>
        </is>
      </c>
    </row>
  </sheetData>
  <mergeCells count="5">
    <mergeCell ref="A1:D1"/>
    <mergeCell ref="A4:D4"/>
    <mergeCell ref="A20:D20"/>
    <mergeCell ref="A2:D2"/>
    <mergeCell ref="A11:D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174" min="1" max="1"/>
    <col width="36" customWidth="1" style="174" min="2" max="2"/>
    <col width="16" customWidth="1" style="174" min="3" max="4"/>
    <col width="14" customWidth="1" style="174" min="5" max="6"/>
    <col width="13" customWidth="1" style="174" min="7" max="8"/>
    <col width="20" customWidth="1" style="174" min="9" max="9"/>
  </cols>
  <sheetData>
    <row r="1" ht="25.5" customHeight="1" s="175">
      <c r="A1" s="349" t="inlineStr">
        <is>
          <t>Phase 3 — Mixed TBC (占位)  |  GDC — 5 PILLARS COSTING  |  未规划 TBC ○</t>
        </is>
      </c>
    </row>
    <row r="2" ht="15" customHeight="1" s="175">
      <c r="A2" s="350" t="inlineStr">
        <is>
          <t>C = Budget (RM)  |  D = Committed  |  E = Actual  |  G = Budget psf NFA  |  I = % of Net GDV</t>
        </is>
      </c>
    </row>
    <row r="3" ht="27.75" customHeight="1" s="175">
      <c r="A3" s="182" t="inlineStr">
        <is>
          <t>#</t>
        </is>
      </c>
      <c r="B3" s="182" t="inlineStr">
        <is>
          <t>Cost Item</t>
        </is>
      </c>
      <c r="C3" s="182" t="inlineStr">
        <is>
          <t>Budget (RM)</t>
        </is>
      </c>
      <c r="D3" s="182" t="inlineStr">
        <is>
          <t>Committed (RM)</t>
        </is>
      </c>
      <c r="E3" s="182" t="inlineStr">
        <is>
          <t>Actual (RM)</t>
        </is>
      </c>
      <c r="F3" s="182" t="inlineStr">
        <is>
          <t>Variance</t>
        </is>
      </c>
      <c r="G3" s="182" t="inlineStr">
        <is>
          <t>Budget psf</t>
        </is>
      </c>
      <c r="H3" s="182" t="inlineStr">
        <is>
          <t>Actual psf</t>
        </is>
      </c>
      <c r="I3" s="182" t="inlineStr">
        <is>
          <t>% Net GDV</t>
        </is>
      </c>
    </row>
    <row r="5" ht="19.5" customHeight="1" s="175">
      <c r="A5" s="357" t="inlineStr">
        <is>
          <t>P1</t>
        </is>
      </c>
      <c r="B5" s="351" t="inlineStr">
        <is>
          <t>PILLAR 1 · LAND COST (indicative)</t>
        </is>
      </c>
      <c r="C5" s="184" t="n"/>
      <c r="D5" s="184" t="n"/>
      <c r="E5" s="184" t="n"/>
      <c r="F5" s="185" t="n"/>
      <c r="G5" s="358" t="n"/>
      <c r="H5" s="358" t="n"/>
      <c r="I5" s="359" t="inlineStr">
        <is>
          <t>TBC</t>
        </is>
      </c>
    </row>
    <row r="6" ht="16.5" customHeight="1" s="175">
      <c r="A6" s="360" t="inlineStr">
        <is>
          <t>1.1</t>
        </is>
      </c>
      <c r="B6" s="361" t="inlineStr">
        <is>
          <t xml:space="preserve">    Land Cost (NDA share)</t>
        </is>
      </c>
      <c r="C6" s="356" t="n">
        <v>7500000</v>
      </c>
      <c r="D6" s="356" t="n">
        <v>0</v>
      </c>
      <c r="E6" s="356" t="n">
        <v>0</v>
      </c>
      <c r="F6" s="355">
        <f>C6-E6</f>
        <v/>
      </c>
      <c r="G6" s="362">
        <f>IFERROR(C6/P3_INPUT!B16,0)</f>
        <v/>
      </c>
      <c r="H6" s="362">
        <f>IFERROR(E6/P3_INPUT!B16,0)</f>
        <v/>
      </c>
      <c r="I6" s="354" t="inlineStr">
        <is>
          <t>Allocated from master by NDA%; TBC</t>
        </is>
      </c>
    </row>
    <row r="7" ht="16.5" customHeight="1" s="175">
      <c r="A7" s="360" t="inlineStr">
        <is>
          <t>1.2</t>
        </is>
      </c>
      <c r="B7" s="361" t="inlineStr">
        <is>
          <t xml:space="preserve">    Transaction costs</t>
        </is>
      </c>
      <c r="C7" s="355">
        <f>C6*0.055</f>
        <v/>
      </c>
      <c r="D7" s="356" t="n">
        <v>0</v>
      </c>
      <c r="E7" s="356" t="n">
        <v>0</v>
      </c>
      <c r="F7" s="355">
        <f>C7-E7</f>
        <v/>
      </c>
      <c r="G7" s="362">
        <f>IFERROR(C7/P3_INPUT!B16,0)</f>
        <v/>
      </c>
      <c r="H7" s="362">
        <f>IFERROR(E7/P3_INPUT!B16,0)</f>
        <v/>
      </c>
      <c r="I7" s="354" t="inlineStr">
        <is>
          <t>Stamp + legal estimate</t>
        </is>
      </c>
    </row>
    <row r="8" ht="19.5" customHeight="1" s="175">
      <c r="A8" s="358" t="n"/>
      <c r="B8" s="351" t="inlineStr">
        <is>
          <t>PILLAR 1 TOTAL</t>
        </is>
      </c>
      <c r="C8" s="363">
        <f>SUM(C6:C7)</f>
        <v/>
      </c>
      <c r="D8" s="363">
        <f>SUM(D6:D7)</f>
        <v/>
      </c>
      <c r="E8" s="363">
        <f>SUM(E6:E7)</f>
        <v/>
      </c>
      <c r="F8" s="363">
        <f>C8-E8</f>
        <v/>
      </c>
      <c r="G8" s="364">
        <f>IFERROR(C8/P3_INPUT!B16,0)</f>
        <v/>
      </c>
      <c r="H8" s="364">
        <f>IFERROR(E8/P3_INPUT!B16,0)</f>
        <v/>
      </c>
      <c r="I8" s="365">
        <f>IFERROR(C8/P3_INPUT!B24,0)</f>
        <v/>
      </c>
    </row>
    <row r="9" ht="6" customHeight="1" s="175">
      <c r="A9" s="258" t="n"/>
      <c r="B9" s="184" t="n"/>
      <c r="C9" s="184" t="n"/>
      <c r="D9" s="184" t="n"/>
      <c r="E9" s="184" t="n"/>
      <c r="F9" s="184" t="n"/>
      <c r="G9" s="184" t="n"/>
      <c r="H9" s="184" t="n"/>
      <c r="I9" s="184" t="n"/>
    </row>
    <row r="10" ht="19.5" customHeight="1" s="175">
      <c r="A10" s="357" t="inlineStr">
        <is>
          <t>P2</t>
        </is>
      </c>
      <c r="B10" s="351" t="inlineStr">
        <is>
          <t>PILLAR 2 · CONSTRUCTION COST (indicative)</t>
        </is>
      </c>
      <c r="C10" s="184" t="n"/>
      <c r="D10" s="184" t="n"/>
      <c r="E10" s="184" t="n"/>
      <c r="F10" s="185" t="n"/>
      <c r="G10" s="358" t="n"/>
      <c r="H10" s="358" t="n"/>
      <c r="I10" s="359" t="inlineStr">
        <is>
          <t>TBC</t>
        </is>
      </c>
    </row>
    <row r="11" ht="16.5" customHeight="1" s="175">
      <c r="A11" s="360" t="inlineStr">
        <is>
          <t>2.1</t>
        </is>
      </c>
      <c r="B11" s="361" t="inlineStr">
        <is>
          <t xml:space="preserve">    Construction (psf GFA estimate)</t>
        </is>
      </c>
      <c r="C11" s="356" t="n">
        <v>111078000</v>
      </c>
      <c r="D11" s="356" t="n">
        <v>0</v>
      </c>
      <c r="E11" s="356" t="n">
        <v>0</v>
      </c>
      <c r="F11" s="355">
        <f>C11-E11</f>
        <v/>
      </c>
      <c r="G11" s="362">
        <f>IFERROR(C11/P3_INPUT!B16,0)</f>
        <v/>
      </c>
      <c r="H11" s="362">
        <f>IFERROR(E11/P3_INPUT!B16,0)</f>
        <v/>
      </c>
      <c r="I11" s="354" t="inlineStr">
        <is>
          <t>RM 300–380 psf GFA benchmark; TBC at design</t>
        </is>
      </c>
    </row>
    <row r="12" ht="19.5" customHeight="1" s="175">
      <c r="A12" s="358" t="n"/>
      <c r="B12" s="351" t="inlineStr">
        <is>
          <t>PILLAR 2 TOTAL</t>
        </is>
      </c>
      <c r="C12" s="363">
        <f>SUM(C11:C11)</f>
        <v/>
      </c>
      <c r="D12" s="363">
        <f>SUM(D11:D11)</f>
        <v/>
      </c>
      <c r="E12" s="363">
        <f>SUM(E11:E11)</f>
        <v/>
      </c>
      <c r="F12" s="363">
        <f>C12-E12</f>
        <v/>
      </c>
      <c r="G12" s="364">
        <f>IFERROR(C12/P3_INPUT!B16,0)</f>
        <v/>
      </c>
      <c r="H12" s="364">
        <f>IFERROR(E12/P3_INPUT!B16,0)</f>
        <v/>
      </c>
      <c r="I12" s="365">
        <f>IFERROR(C12/P3_INPUT!B24,0)</f>
        <v/>
      </c>
    </row>
    <row r="13" ht="6" customHeight="1" s="175">
      <c r="A13" s="258" t="n"/>
      <c r="B13" s="184" t="n"/>
      <c r="C13" s="184" t="n"/>
      <c r="D13" s="184" t="n"/>
      <c r="E13" s="184" t="n"/>
      <c r="F13" s="184" t="n"/>
      <c r="G13" s="184" t="n"/>
      <c r="H13" s="184" t="n"/>
      <c r="I13" s="184" t="n"/>
    </row>
    <row r="14" ht="19.5" customHeight="1" s="175">
      <c r="A14" s="357" t="inlineStr">
        <is>
          <t>P3</t>
        </is>
      </c>
      <c r="B14" s="351" t="inlineStr">
        <is>
          <t>PILLAR 3 · INFRASTRUCTURE + STATUTORY (indicative)</t>
        </is>
      </c>
      <c r="C14" s="184" t="n"/>
      <c r="D14" s="184" t="n"/>
      <c r="E14" s="184" t="n"/>
      <c r="F14" s="185" t="n"/>
      <c r="G14" s="358" t="n"/>
      <c r="H14" s="358" t="n"/>
      <c r="I14" s="359" t="inlineStr">
        <is>
          <t>TBC</t>
        </is>
      </c>
    </row>
    <row r="15" ht="16.5" customHeight="1" s="175">
      <c r="A15" s="360" t="inlineStr">
        <is>
          <t>3.1</t>
        </is>
      </c>
      <c r="B15" s="361" t="inlineStr">
        <is>
          <t xml:space="preserve">    Infrastructure + Statutory</t>
        </is>
      </c>
      <c r="C15" s="355">
        <f>C12*0.2</f>
        <v/>
      </c>
      <c r="D15" s="356" t="n">
        <v>0</v>
      </c>
      <c r="E15" s="356" t="n">
        <v>0</v>
      </c>
      <c r="F15" s="355">
        <f>C15-E15</f>
        <v/>
      </c>
      <c r="G15" s="362">
        <f>IFERROR(C15/P3_INPUT!B16,0)</f>
        <v/>
      </c>
      <c r="H15" s="362">
        <f>IFERROR(E15/P3_INPUT!B16,0)</f>
        <v/>
      </c>
      <c r="I15" s="354" t="inlineStr">
        <is>
          <t>~20% of construction; TBC at DA stage</t>
        </is>
      </c>
    </row>
    <row r="16" ht="19.5" customHeight="1" s="175">
      <c r="A16" s="358" t="n"/>
      <c r="B16" s="351" t="inlineStr">
        <is>
          <t>PILLAR 3 TOTAL</t>
        </is>
      </c>
      <c r="C16" s="363">
        <f>SUM(C15:C15)</f>
        <v/>
      </c>
      <c r="D16" s="363">
        <f>SUM(D15:D15)</f>
        <v/>
      </c>
      <c r="E16" s="363">
        <f>SUM(E15:E15)</f>
        <v/>
      </c>
      <c r="F16" s="363">
        <f>C16-E16</f>
        <v/>
      </c>
      <c r="G16" s="364">
        <f>IFERROR(C16/P3_INPUT!B16,0)</f>
        <v/>
      </c>
      <c r="H16" s="364">
        <f>IFERROR(E16/P3_INPUT!B16,0)</f>
        <v/>
      </c>
      <c r="I16" s="365">
        <f>IFERROR(C16/P3_INPUT!B24,0)</f>
        <v/>
      </c>
    </row>
    <row r="17" ht="6" customHeight="1" s="175">
      <c r="A17" s="258" t="n"/>
      <c r="B17" s="184" t="n"/>
      <c r="C17" s="184" t="n"/>
      <c r="D17" s="184" t="n"/>
      <c r="E17" s="184" t="n"/>
      <c r="F17" s="184" t="n"/>
      <c r="G17" s="184" t="n"/>
      <c r="H17" s="184" t="n"/>
      <c r="I17" s="184" t="n"/>
    </row>
    <row r="18" ht="19.5" customHeight="1" s="175">
      <c r="A18" s="357" t="inlineStr">
        <is>
          <t>P4</t>
        </is>
      </c>
      <c r="B18" s="351" t="inlineStr">
        <is>
          <t>PILLAR 4 · PROFESSIONAL FEES (indicative)</t>
        </is>
      </c>
      <c r="C18" s="184" t="n"/>
      <c r="D18" s="184" t="n"/>
      <c r="E18" s="184" t="n"/>
      <c r="F18" s="185" t="n"/>
      <c r="G18" s="358" t="n"/>
      <c r="H18" s="358" t="n"/>
      <c r="I18" s="359" t="inlineStr">
        <is>
          <t>TBC</t>
        </is>
      </c>
    </row>
    <row r="19" ht="16.5" customHeight="1" s="175">
      <c r="A19" s="360" t="inlineStr">
        <is>
          <t>4.1</t>
        </is>
      </c>
      <c r="B19" s="361" t="inlineStr">
        <is>
          <t xml:space="preserve">    All Consultants</t>
        </is>
      </c>
      <c r="C19" s="355">
        <f>C12*0.06</f>
        <v/>
      </c>
      <c r="D19" s="356" t="n">
        <v>0</v>
      </c>
      <c r="E19" s="356" t="n">
        <v>0</v>
      </c>
      <c r="F19" s="355">
        <f>C19-E19</f>
        <v/>
      </c>
      <c r="G19" s="362">
        <f>IFERROR(C19/P3_INPUT!B16,0)</f>
        <v/>
      </c>
      <c r="H19" s="362">
        <f>IFERROR(E19/P3_INPUT!B16,0)</f>
        <v/>
      </c>
      <c r="I19" s="354" t="inlineStr">
        <is>
          <t>~6% of construction; TBC</t>
        </is>
      </c>
    </row>
    <row r="20" ht="19.5" customHeight="1" s="175">
      <c r="A20" s="358" t="n"/>
      <c r="B20" s="351" t="inlineStr">
        <is>
          <t>PILLAR 4 TOTAL</t>
        </is>
      </c>
      <c r="C20" s="363">
        <f>SUM(C19:C19)</f>
        <v/>
      </c>
      <c r="D20" s="363">
        <f>SUM(D19:D19)</f>
        <v/>
      </c>
      <c r="E20" s="363">
        <f>SUM(E19:E19)</f>
        <v/>
      </c>
      <c r="F20" s="363">
        <f>C20-E20</f>
        <v/>
      </c>
      <c r="G20" s="364">
        <f>IFERROR(C20/P3_INPUT!B16,0)</f>
        <v/>
      </c>
      <c r="H20" s="364">
        <f>IFERROR(E20/P3_INPUT!B16,0)</f>
        <v/>
      </c>
      <c r="I20" s="365">
        <f>IFERROR(C20/P3_INPUT!B24,0)</f>
        <v/>
      </c>
    </row>
    <row r="21" ht="6" customHeight="1" s="175">
      <c r="A21" s="258" t="n"/>
      <c r="B21" s="184" t="n"/>
      <c r="C21" s="184" t="n"/>
      <c r="D21" s="184" t="n"/>
      <c r="E21" s="184" t="n"/>
      <c r="F21" s="184" t="n"/>
      <c r="G21" s="184" t="n"/>
      <c r="H21" s="184" t="n"/>
      <c r="I21" s="184" t="n"/>
    </row>
    <row r="22" ht="19.5" customHeight="1" s="175">
      <c r="A22" s="357" t="inlineStr">
        <is>
          <t>P5</t>
        </is>
      </c>
      <c r="B22" s="351" t="inlineStr">
        <is>
          <t>PILLAR 5 · FINANCE + MARKETING (indicative)</t>
        </is>
      </c>
      <c r="C22" s="184" t="n"/>
      <c r="D22" s="184" t="n"/>
      <c r="E22" s="184" t="n"/>
      <c r="F22" s="185" t="n"/>
      <c r="G22" s="358" t="n"/>
      <c r="H22" s="358" t="n"/>
      <c r="I22" s="359" t="inlineStr">
        <is>
          <t>TBC</t>
        </is>
      </c>
    </row>
    <row r="23" ht="16.5" customHeight="1" s="175">
      <c r="A23" s="360" t="inlineStr">
        <is>
          <t>5.1</t>
        </is>
      </c>
      <c r="B23" s="361" t="inlineStr">
        <is>
          <t xml:space="preserve">    Finance + Marketing</t>
        </is>
      </c>
      <c r="C23" s="366">
        <f>P3_INPUT!B24*0.08</f>
        <v/>
      </c>
      <c r="D23" s="356" t="n">
        <v>0</v>
      </c>
      <c r="E23" s="356" t="n">
        <v>0</v>
      </c>
      <c r="F23" s="355">
        <f>C23-E23</f>
        <v/>
      </c>
      <c r="G23" s="362">
        <f>IFERROR(C23/P3_INPUT!B16,0)</f>
        <v/>
      </c>
      <c r="H23" s="362">
        <f>IFERROR(E23/P3_INPUT!B16,0)</f>
        <v/>
      </c>
      <c r="I23" s="354" t="inlineStr">
        <is>
          <t>~8% Net GDV; TBC</t>
        </is>
      </c>
    </row>
    <row r="24" ht="19.5" customHeight="1" s="175">
      <c r="A24" s="358" t="n"/>
      <c r="B24" s="351" t="inlineStr">
        <is>
          <t>PILLAR 5 TOTAL</t>
        </is>
      </c>
      <c r="C24" s="363">
        <f>SUM(C23:C23)</f>
        <v/>
      </c>
      <c r="D24" s="363">
        <f>SUM(D23:D23)</f>
        <v/>
      </c>
      <c r="E24" s="363">
        <f>SUM(E23:E23)</f>
        <v/>
      </c>
      <c r="F24" s="363">
        <f>C24-E24</f>
        <v/>
      </c>
      <c r="G24" s="364">
        <f>IFERROR(C24/P3_INPUT!B16,0)</f>
        <v/>
      </c>
      <c r="H24" s="364">
        <f>IFERROR(E24/P3_INPUT!B16,0)</f>
        <v/>
      </c>
      <c r="I24" s="365">
        <f>IFERROR(C24/P3_INPUT!B24,0)</f>
        <v/>
      </c>
    </row>
    <row r="25" ht="6" customHeight="1" s="175">
      <c r="A25" s="258" t="n"/>
      <c r="B25" s="184" t="n"/>
      <c r="C25" s="184" t="n"/>
      <c r="D25" s="184" t="n"/>
      <c r="E25" s="184" t="n"/>
      <c r="F25" s="184" t="n"/>
      <c r="G25" s="184" t="n"/>
      <c r="H25" s="184" t="n"/>
      <c r="I25" s="184" t="n"/>
    </row>
    <row r="26" ht="25.5" customHeight="1" s="175">
      <c r="A26" s="367" t="inlineStr">
        <is>
          <t>GDC</t>
        </is>
      </c>
      <c r="B26" s="368" t="inlineStr">
        <is>
          <t>GROSS DEV COST (INDICATIVE — TBC)</t>
        </is>
      </c>
      <c r="C26" s="369">
        <f>C8+C12+C16+C20+C24</f>
        <v/>
      </c>
      <c r="D26" s="358" t="n"/>
      <c r="E26" s="358" t="n"/>
      <c r="F26" s="358" t="n"/>
      <c r="G26" s="370">
        <f>IFERROR(C26/P3_INPUT!B16,0)</f>
        <v/>
      </c>
      <c r="H26" s="358" t="n"/>
      <c r="I26" s="365">
        <f>IFERROR(C26/P3_INPUT!B24,0)</f>
        <v/>
      </c>
    </row>
    <row r="27" ht="6" customHeight="1" s="175">
      <c r="A27" s="192" t="n"/>
    </row>
    <row r="28" ht="25.5" customHeight="1" s="175">
      <c r="A28" s="367" t="inlineStr">
        <is>
          <t>PBT</t>
        </is>
      </c>
      <c r="B28" s="368" t="inlineStr">
        <is>
          <t>PROFIT (INDICATIVE — TBC)</t>
        </is>
      </c>
      <c r="C28" s="371">
        <f>P3_INPUT!B24-C26</f>
        <v/>
      </c>
      <c r="D28" s="358" t="n"/>
      <c r="E28" s="358" t="n"/>
      <c r="F28" s="358" t="n"/>
      <c r="G28" s="358" t="n"/>
      <c r="H28" s="358" t="n"/>
      <c r="I28" s="365">
        <f>IFERROR(C28/P3_INPUT!B24,0)</f>
        <v/>
      </c>
    </row>
  </sheetData>
  <mergeCells count="13">
    <mergeCell ref="A25:I25"/>
    <mergeCell ref="A2:I2"/>
    <mergeCell ref="B10:F10"/>
    <mergeCell ref="A13:I13"/>
    <mergeCell ref="B5:F5"/>
    <mergeCell ref="A1:I1"/>
    <mergeCell ref="A17:I17"/>
    <mergeCell ref="A9:I9"/>
    <mergeCell ref="A27:I27"/>
    <mergeCell ref="B22:F22"/>
    <mergeCell ref="B14:F14"/>
    <mergeCell ref="B18:F18"/>
    <mergeCell ref="A21:I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2026-06-12T04:33:46Z</dcterms:created>
  <dcterms:modified xsi:type="dcterms:W3CDTF">2026-06-15T03:28:10Z</dcterms:modified>
  <cp:revision>0</cp:revision>
</cp:coreProperties>
</file>